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xr:revisionPtr revIDLastSave="0" documentId="13_ncr:1_{382ACB84-5C09-4715-865A-E8217B308346}" xr6:coauthVersionLast="47" xr6:coauthVersionMax="47" xr10:uidLastSave="{00000000-0000-0000-0000-000000000000}"/>
  <bookViews>
    <workbookView xWindow="-110" yWindow="-110" windowWidth="19420" windowHeight="11620" xr2:uid="{00000000-000D-0000-FFFF-FFFF00000000}"/>
  </bookViews>
  <sheets>
    <sheet name="ProjectSchedule" sheetId="11" r:id="rId1"/>
    <sheet name="About" sheetId="12" r:id="rId2"/>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ProjectSchedule!$C1</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11" l="1"/>
  <c r="D20" i="11"/>
  <c r="D21" i="11" s="1"/>
  <c r="E21" i="11" s="1"/>
  <c r="E42" i="11"/>
  <c r="D42" i="11"/>
  <c r="G7" i="11"/>
  <c r="E20" i="11" l="1"/>
  <c r="D9" i="11"/>
  <c r="D10" i="11" s="1"/>
  <c r="E10" i="11" s="1"/>
  <c r="D11" i="11" s="1"/>
  <c r="E11" i="11" l="1"/>
  <c r="D13" i="11" s="1"/>
  <c r="D12" i="11"/>
  <c r="G44" i="11"/>
  <c r="E9" i="11"/>
  <c r="H5" i="11"/>
  <c r="G84" i="11"/>
  <c r="G56" i="11"/>
  <c r="G54" i="11"/>
  <c r="G53" i="11"/>
  <c r="G52" i="11"/>
  <c r="G51" i="11"/>
  <c r="G49" i="11"/>
  <c r="G41" i="11"/>
  <c r="G18" i="11"/>
  <c r="G8" i="11"/>
  <c r="G43" i="11" l="1"/>
  <c r="G9" i="11"/>
  <c r="H6" i="11"/>
  <c r="G47" i="11" l="1"/>
  <c r="G50" i="11"/>
  <c r="G10" i="11"/>
  <c r="G45" i="11"/>
  <c r="G19" i="11"/>
  <c r="E13" i="11"/>
  <c r="I5" i="11"/>
  <c r="J5" i="11" s="1"/>
  <c r="K5" i="11" s="1"/>
  <c r="L5" i="11" s="1"/>
  <c r="M5" i="11" s="1"/>
  <c r="N5" i="11" s="1"/>
  <c r="O5" i="11" s="1"/>
  <c r="H4" i="11"/>
  <c r="G13" i="11" l="1"/>
  <c r="D14" i="11"/>
  <c r="E14" i="11" s="1"/>
  <c r="D15" i="11" s="1"/>
  <c r="E15" i="11" s="1"/>
  <c r="D16" i="11" s="1"/>
  <c r="E16" i="11" s="1"/>
  <c r="G46" i="11"/>
  <c r="G20" i="11"/>
  <c r="D22" i="11"/>
  <c r="G12" i="11"/>
  <c r="G11" i="11"/>
  <c r="O4" i="11"/>
  <c r="P5" i="11"/>
  <c r="Q5" i="11" s="1"/>
  <c r="R5" i="11" s="1"/>
  <c r="S5" i="11" s="1"/>
  <c r="T5" i="11" s="1"/>
  <c r="U5" i="11" s="1"/>
  <c r="V5" i="11" s="1"/>
  <c r="I6" i="11"/>
  <c r="G23" i="11" l="1"/>
  <c r="E22" i="11"/>
  <c r="G22" i="11" s="1"/>
  <c r="G21" i="1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<sst xmlns="http://schemas.openxmlformats.org/spreadsheetml/2006/main" count="140" uniqueCount="107">
  <si>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</si>
  <si>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</si>
  <si>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</si>
  <si>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</si>
  <si>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</si>
  <si>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</si>
  <si>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</si>
  <si>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</si>
  <si>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</si>
  <si>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</si>
  <si>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</si>
  <si>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</si>
  <si>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</si>
  <si>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</si>
  <si>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</si>
  <si>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Task 1</t>
  </si>
  <si>
    <t>Task 2</t>
  </si>
  <si>
    <t>Task 3</t>
  </si>
  <si>
    <t>Task 4</t>
  </si>
  <si>
    <t>Task 5</t>
  </si>
  <si>
    <t>Insert new rows ABOVE this one</t>
  </si>
  <si>
    <t>Project Start:</t>
  </si>
  <si>
    <t>Display Week:</t>
  </si>
  <si>
    <t>PROGRESS</t>
  </si>
  <si>
    <t>START</t>
  </si>
  <si>
    <t>date</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</si>
  <si>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</si>
  <si>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</si>
  <si>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</si>
  <si>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</si>
  <si>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</si>
  <si>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</si>
  <si>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</si>
  <si>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</si>
  <si>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</si>
  <si>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</si>
  <si>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</si>
  <si>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</si>
  <si>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</si>
  <si>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</si>
  <si>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</si>
  <si>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</si>
  <si>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</si>
  <si>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SAP</t>
  </si>
  <si>
    <t>DEADLINE</t>
  </si>
  <si>
    <t>Finish defining the exposure and outcomes</t>
  </si>
  <si>
    <t>Write about relapse and death in ICU stay</t>
  </si>
  <si>
    <t>Add to list of potential variables to consider as predictors</t>
  </si>
  <si>
    <t>Missing data</t>
  </si>
  <si>
    <t>Validation Method</t>
  </si>
  <si>
    <t>Missing Data</t>
  </si>
  <si>
    <t>Performance measures</t>
  </si>
  <si>
    <t>Sensitivity Checks</t>
  </si>
  <si>
    <t>Discussion</t>
  </si>
  <si>
    <t>MSc Summer Project</t>
  </si>
  <si>
    <t>LSHTM</t>
  </si>
  <si>
    <t>Louis Bolduc</t>
  </si>
  <si>
    <t>Introduction</t>
  </si>
  <si>
    <t>Methods</t>
  </si>
  <si>
    <t>Results</t>
  </si>
  <si>
    <t>Abstract</t>
  </si>
  <si>
    <t xml:space="preserve">Grouped ICU LOS for each individual stay </t>
  </si>
  <si>
    <t>Temperature</t>
  </si>
  <si>
    <t>Platelets</t>
  </si>
  <si>
    <t>Admission type</t>
  </si>
  <si>
    <t>Lung cancer ICU stays (with ICD codes)</t>
  </si>
  <si>
    <t>Aims and objectives</t>
  </si>
  <si>
    <t>Lung cancer background</t>
  </si>
  <si>
    <t>MIMIC summary</t>
  </si>
  <si>
    <t>Curenetics dataset summary</t>
  </si>
  <si>
    <t>Literature review</t>
  </si>
  <si>
    <t>Database management</t>
  </si>
  <si>
    <t>Data extraction</t>
  </si>
  <si>
    <t>Data cleaning</t>
  </si>
  <si>
    <t>Prediction models</t>
  </si>
  <si>
    <t>Data augmentation</t>
  </si>
  <si>
    <t>Patient demographics</t>
  </si>
  <si>
    <t>Predictor/feature/variable importance</t>
  </si>
  <si>
    <t>Evaluation metrics</t>
  </si>
  <si>
    <t>Glucose</t>
  </si>
  <si>
    <t>Chloride</t>
  </si>
  <si>
    <t>Potassium</t>
  </si>
  <si>
    <t>Main dataset built (data on variables collected)</t>
  </si>
  <si>
    <t>Sodium</t>
  </si>
  <si>
    <t>PTT</t>
  </si>
  <si>
    <t>Haemoglobin</t>
  </si>
  <si>
    <t>Troponin</t>
  </si>
  <si>
    <t>Haematocrit</t>
  </si>
  <si>
    <t>IJN</t>
  </si>
  <si>
    <t>INR</t>
  </si>
  <si>
    <t>Age</t>
  </si>
  <si>
    <t>Sex</t>
  </si>
  <si>
    <t>Calcium gluconate</t>
  </si>
  <si>
    <t>Ondansetron</t>
  </si>
  <si>
    <t>Race</t>
  </si>
  <si>
    <t>Insurance</t>
  </si>
  <si>
    <t>Hospital expiry</t>
  </si>
  <si>
    <t>Summary table</t>
  </si>
  <si>
    <t>FINE TUNING</t>
  </si>
  <si>
    <t>Action on feedback</t>
  </si>
  <si>
    <t>Fine tune the model</t>
  </si>
  <si>
    <t>Add to the write up (separate save from the version submitted for feedback)</t>
  </si>
  <si>
    <t>TBC</t>
  </si>
  <si>
    <t>DATA COLLECTION</t>
  </si>
  <si>
    <t>DATA CLEANING</t>
  </si>
  <si>
    <t>PREDICTION MODEL BUILDING</t>
  </si>
  <si>
    <t>REPORT 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</si>
</sst>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4"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79998168889431442"/>
        <bgColor indexed="64"/>
      </patternFill>
    </fill>
  </fills>
  <borders count="2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medium">
        <color theme="0" tint="-0.14996795556505021"/>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right/>
      <top style="medium">
        <color theme="0" tint="-0.14996795556505021"/>
      </top>
      <bottom/>
      <diagonal/>
    </border>
    <border>
      <left style="thin">
        <color theme="0" tint="-0.14993743705557422"/>
      </left>
      <right style="thin">
        <color theme="0" tint="-0.14993743705557422"/>
      </right>
      <top style="medium">
        <color theme="0" tint="-0.14996795556505021"/>
      </top>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9" fillId="0" borderId="0"/>
    <xf numFmtId="165"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7"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19"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9"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9"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9"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19"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19"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16">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4" fillId="0" borderId="2" xfId="0" applyFont="1" applyBorder="1" applyAlignment="1">
      <alignment horizontal="center" vertical="center"/>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 fillId="0" borderId="0" xfId="0" applyFont="1" applyAlignment="1">
      <alignment vertical="top"/>
    </xf>
    <xf numFmtId="0" fontId="13" fillId="0" borderId="0" xfId="0" applyFont="1" applyAlignment="1">
      <alignment horizontal="left" vertical="center"/>
    </xf>
    <xf numFmtId="0" fontId="14" fillId="0" borderId="0" xfId="0" applyFont="1" applyAlignment="1">
      <alignment horizontal="left" vertical="center"/>
    </xf>
    <xf numFmtId="0" fontId="16" fillId="0" borderId="0" xfId="0" applyFont="1"/>
    <xf numFmtId="0" fontId="18" fillId="0" borderId="0" xfId="0" applyFont="1" applyAlignment="1">
      <alignment vertical="center"/>
    </xf>
    <xf numFmtId="0" fontId="17" fillId="0" borderId="0" xfId="0" applyFont="1" applyAlignment="1">
      <alignment horizontal="left" vertical="top" wrapText="1" indent="1"/>
    </xf>
    <xf numFmtId="0" fontId="1" fillId="0" borderId="0" xfId="0" applyFont="1" applyAlignment="1">
      <alignment horizontal="left" vertical="top"/>
    </xf>
    <xf numFmtId="0" fontId="15"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9" fillId="0" borderId="0" xfId="3"/>
    <xf numFmtId="0" fontId="19" fillId="0" borderId="0" xfId="3" applyAlignment="1">
      <alignment wrapText="1"/>
    </xf>
    <xf numFmtId="0" fontId="19" fillId="0" borderId="0" xfId="0" applyFont="1" applyAlignment="1">
      <alignment horizontal="center"/>
    </xf>
    <xf numFmtId="0" fontId="0" fillId="0" borderId="0" xfId="0" applyAlignment="1">
      <alignment wrapText="1"/>
    </xf>
    <xf numFmtId="0" fontId="12" fillId="0" borderId="0" xfId="5" applyAlignment="1">
      <alignment horizontal="left"/>
    </xf>
    <xf numFmtId="0" fontId="0" fillId="0" borderId="10" xfId="0" applyBorder="1"/>
    <xf numFmtId="0" fontId="20" fillId="0" borderId="0" xfId="0" applyFont="1"/>
    <xf numFmtId="0" fontId="21" fillId="0" borderId="0" xfId="1" applyFont="1" applyProtection="1">
      <alignment vertical="top"/>
    </xf>
    <xf numFmtId="0" fontId="4" fillId="0" borderId="0" xfId="0" applyFont="1" applyAlignment="1">
      <alignment vertical="top"/>
    </xf>
    <xf numFmtId="167" fontId="0" fillId="8" borderId="2" xfId="0" applyNumberFormat="1" applyFill="1" applyBorder="1" applyAlignment="1">
      <alignment horizontal="center" vertical="center"/>
    </xf>
    <xf numFmtId="167" fontId="4" fillId="8" borderId="2" xfId="0" applyNumberFormat="1" applyFont="1" applyFill="1" applyBorder="1" applyAlignment="1">
      <alignment horizontal="center" vertical="center"/>
    </xf>
    <xf numFmtId="167" fontId="8" fillId="3" borderId="2" xfId="10" applyFill="1">
      <alignment horizontal="center" vertical="center"/>
    </xf>
    <xf numFmtId="167" fontId="0" fillId="9" borderId="2" xfId="0" applyNumberFormat="1" applyFill="1" applyBorder="1" applyAlignment="1">
      <alignment horizontal="center" vertical="center"/>
    </xf>
    <xf numFmtId="167" fontId="4" fillId="9" borderId="2" xfId="0" applyNumberFormat="1" applyFont="1" applyFill="1" applyBorder="1" applyAlignment="1">
      <alignment horizontal="center" vertical="center"/>
    </xf>
    <xf numFmtId="167" fontId="8" fillId="4" borderId="2" xfId="10" applyFill="1">
      <alignment horizontal="center" vertical="center"/>
    </xf>
    <xf numFmtId="167" fontId="0" fillId="6" borderId="2" xfId="0" applyNumberFormat="1" applyFill="1" applyBorder="1" applyAlignment="1">
      <alignment horizontal="center" vertical="center"/>
    </xf>
    <xf numFmtId="167" fontId="4" fillId="6" borderId="2" xfId="0" applyNumberFormat="1" applyFont="1" applyFill="1" applyBorder="1" applyAlignment="1">
      <alignment horizontal="center" vertical="center"/>
    </xf>
    <xf numFmtId="167" fontId="8" fillId="11" borderId="2" xfId="10" applyFill="1">
      <alignment horizontal="center" vertical="center"/>
    </xf>
    <xf numFmtId="167" fontId="0" fillId="5" borderId="2" xfId="0" applyNumberFormat="1" applyFill="1" applyBorder="1" applyAlignment="1">
      <alignment horizontal="center" vertical="center"/>
    </xf>
    <xf numFmtId="167" fontId="4" fillId="5" borderId="2" xfId="0" applyNumberFormat="1" applyFont="1" applyFill="1" applyBorder="1" applyAlignment="1">
      <alignment horizontal="center" vertical="center"/>
    </xf>
    <xf numFmtId="167" fontId="8" fillId="10" borderId="2" xfId="10" applyFill="1">
      <alignment horizontal="center" vertical="center"/>
    </xf>
    <xf numFmtId="168" fontId="10" fillId="7" borderId="6" xfId="0" applyNumberFormat="1" applyFont="1" applyFill="1" applyBorder="1" applyAlignment="1">
      <alignment horizontal="center" vertical="center"/>
    </xf>
    <xf numFmtId="168" fontId="10" fillId="7" borderId="0" xfId="0" applyNumberFormat="1" applyFont="1" applyFill="1" applyAlignment="1">
      <alignment horizontal="center" vertical="center"/>
    </xf>
    <xf numFmtId="168" fontId="10" fillId="7" borderId="7" xfId="0" applyNumberFormat="1" applyFont="1" applyFill="1" applyBorder="1" applyAlignment="1">
      <alignment horizontal="center" vertical="center"/>
    </xf>
    <xf numFmtId="9" fontId="4" fillId="45" borderId="2" xfId="2" applyFont="1" applyFill="1" applyBorder="1" applyAlignment="1">
      <alignment horizontal="center" vertical="center"/>
    </xf>
    <xf numFmtId="167" fontId="0" fillId="45" borderId="2" xfId="0" applyNumberFormat="1" applyFill="1" applyBorder="1" applyAlignment="1">
      <alignment horizontal="center" vertical="center"/>
    </xf>
    <xf numFmtId="167" fontId="4" fillId="45" borderId="2" xfId="0" applyNumberFormat="1" applyFont="1" applyFill="1" applyBorder="1" applyAlignment="1">
      <alignment horizontal="center" vertical="center"/>
    </xf>
    <xf numFmtId="0" fontId="19" fillId="0" borderId="17" xfId="3" applyBorder="1" applyAlignment="1">
      <alignment wrapText="1"/>
    </xf>
    <xf numFmtId="9" fontId="4" fillId="2" borderId="18" xfId="2" applyFont="1" applyFill="1" applyBorder="1" applyAlignment="1">
      <alignment horizontal="center" vertical="center"/>
    </xf>
    <xf numFmtId="167" fontId="3" fillId="2" borderId="18" xfId="0" applyNumberFormat="1" applyFont="1" applyFill="1" applyBorder="1" applyAlignment="1">
      <alignment horizontal="left" vertical="center"/>
    </xf>
    <xf numFmtId="167" fontId="4" fillId="2" borderId="18" xfId="0" applyNumberFormat="1" applyFont="1" applyFill="1" applyBorder="1" applyAlignment="1">
      <alignment horizontal="center" vertical="center"/>
    </xf>
    <xf numFmtId="0" fontId="4" fillId="2" borderId="18" xfId="0" applyFont="1" applyFill="1" applyBorder="1" applyAlignment="1">
      <alignment horizontal="center" vertical="center"/>
    </xf>
    <xf numFmtId="0" fontId="0" fillId="2" borderId="19" xfId="0" applyFill="1" applyBorder="1" applyAlignment="1">
      <alignment vertical="center"/>
    </xf>
    <xf numFmtId="0" fontId="0" fillId="0" borderId="17" xfId="0" applyBorder="1" applyAlignment="1">
      <alignment vertical="center"/>
    </xf>
    <xf numFmtId="0" fontId="4" fillId="0" borderId="20" xfId="0" applyFont="1" applyBorder="1" applyAlignment="1">
      <alignment horizontal="center" vertical="center"/>
    </xf>
    <xf numFmtId="0" fontId="0" fillId="0" borderId="21" xfId="0" applyBorder="1" applyAlignment="1">
      <alignment vertical="center"/>
    </xf>
    <xf numFmtId="9" fontId="4" fillId="46" borderId="2" xfId="2" applyFont="1" applyFill="1" applyBorder="1" applyAlignment="1">
      <alignment horizontal="center" vertical="center"/>
    </xf>
    <xf numFmtId="167" fontId="8" fillId="46" borderId="2" xfId="10" applyFill="1">
      <alignment horizontal="center" vertical="center"/>
    </xf>
    <xf numFmtId="9" fontId="4" fillId="12" borderId="20" xfId="2" applyFont="1" applyFill="1" applyBorder="1" applyAlignment="1">
      <alignment horizontal="center" vertical="center"/>
    </xf>
    <xf numFmtId="167" fontId="19" fillId="12" borderId="2" xfId="10" applyFont="1" applyFill="1">
      <alignment horizontal="center" vertical="center"/>
    </xf>
    <xf numFmtId="0" fontId="9" fillId="0" borderId="0" xfId="6" applyAlignment="1">
      <alignment wrapText="1"/>
    </xf>
    <xf numFmtId="0" fontId="9" fillId="0" borderId="0" xfId="7" applyAlignment="1">
      <alignment vertical="top" wrapText="1"/>
    </xf>
    <xf numFmtId="0" fontId="0" fillId="0" borderId="10" xfId="0" applyBorder="1" applyAlignment="1">
      <alignment wrapText="1"/>
    </xf>
    <xf numFmtId="0" fontId="6" fillId="13" borderId="1" xfId="0" applyFont="1" applyFill="1" applyBorder="1" applyAlignment="1">
      <alignment horizontal="left" vertical="center" wrapText="1"/>
    </xf>
    <xf numFmtId="0" fontId="5" fillId="8" borderId="2" xfId="0" applyFont="1" applyFill="1" applyBorder="1" applyAlignment="1">
      <alignment horizontal="left" vertical="center" wrapText="1"/>
    </xf>
    <xf numFmtId="0" fontId="8" fillId="3" borderId="2" xfId="12" applyFill="1" applyAlignment="1">
      <alignment horizontal="left" vertical="center" wrapText="1"/>
    </xf>
    <xf numFmtId="0" fontId="5" fillId="9" borderId="2" xfId="0" applyFont="1" applyFill="1" applyBorder="1" applyAlignment="1">
      <alignment horizontal="left" vertical="center" wrapText="1"/>
    </xf>
    <xf numFmtId="0" fontId="8" fillId="4" borderId="2" xfId="12" applyFill="1" applyAlignment="1">
      <alignment horizontal="left" vertical="center" wrapText="1"/>
    </xf>
    <xf numFmtId="0" fontId="5" fillId="6" borderId="2" xfId="0" applyFont="1" applyFill="1" applyBorder="1" applyAlignment="1">
      <alignment horizontal="left" vertical="center" wrapText="1"/>
    </xf>
    <xf numFmtId="0" fontId="8" fillId="11" borderId="2" xfId="12" applyFill="1" applyAlignment="1">
      <alignment horizontal="left" vertical="center" wrapText="1"/>
    </xf>
    <xf numFmtId="0" fontId="8" fillId="10" borderId="2" xfId="12" applyFill="1" applyAlignment="1">
      <alignment horizontal="left" vertical="center" wrapText="1"/>
    </xf>
    <xf numFmtId="0" fontId="5" fillId="45" borderId="2" xfId="0" applyFont="1" applyFill="1" applyBorder="1" applyAlignment="1">
      <alignment horizontal="left" vertical="center" wrapText="1"/>
    </xf>
    <xf numFmtId="0" fontId="8" fillId="46" borderId="2" xfId="12" applyFill="1" applyAlignment="1">
      <alignment horizontal="left" vertical="center" wrapText="1"/>
    </xf>
    <xf numFmtId="0" fontId="19" fillId="12" borderId="2" xfId="12" applyFont="1" applyFill="1" applyAlignment="1">
      <alignment horizontal="left" vertical="center" wrapText="1"/>
    </xf>
    <xf numFmtId="0" fontId="5" fillId="5" borderId="2" xfId="0" applyFont="1" applyFill="1" applyBorder="1" applyAlignment="1">
      <alignment horizontal="left" vertical="center"/>
    </xf>
    <xf numFmtId="0" fontId="7" fillId="2" borderId="18" xfId="0" applyFont="1" applyFill="1" applyBorder="1" applyAlignment="1">
      <alignment horizontal="left" vertical="center"/>
    </xf>
    <xf numFmtId="167" fontId="4" fillId="46" borderId="2" xfId="0" applyNumberFormat="1" applyFont="1" applyFill="1" applyBorder="1" applyAlignment="1">
      <alignment horizontal="center" vertical="center"/>
    </xf>
    <xf numFmtId="0" fontId="0" fillId="46" borderId="2" xfId="0" applyFill="1" applyBorder="1" applyAlignment="1">
      <alignment horizontal="left" vertical="center" wrapText="1"/>
    </xf>
    <xf numFmtId="0" fontId="8" fillId="0" borderId="7" xfId="8" applyBorder="1" applyAlignment="1">
      <alignment horizontal="right"/>
    </xf>
    <xf numFmtId="167" fontId="0" fillId="11" borderId="2" xfId="0" applyNumberFormat="1" applyFill="1" applyBorder="1" applyAlignment="1">
      <alignment horizontal="center" vertical="center"/>
    </xf>
    <xf numFmtId="167" fontId="4" fillId="11" borderId="2" xfId="0" applyNumberFormat="1" applyFont="1" applyFill="1" applyBorder="1" applyAlignment="1">
      <alignment horizontal="center" vertical="center"/>
    </xf>
    <xf numFmtId="0" fontId="0" fillId="11" borderId="2" xfId="0" applyFill="1" applyBorder="1" applyAlignment="1">
      <alignment horizontal="left" vertical="center" wrapText="1"/>
    </xf>
    <xf numFmtId="167" fontId="0" fillId="46" borderId="2" xfId="0" applyNumberFormat="1" applyFill="1" applyBorder="1" applyAlignment="1">
      <alignment horizontal="center"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8" fillId="0" borderId="3" xfId="9">
      <alignment horizontal="center" vertical="center"/>
    </xf>
    <xf numFmtId="0" fontId="5" fillId="7" borderId="2" xfId="12" applyFont="1" applyFill="1" applyAlignment="1">
      <alignment horizontal="left" vertical="center" wrapText="1"/>
    </xf>
    <xf numFmtId="9" fontId="4" fillId="7" borderId="20" xfId="2" applyFont="1" applyFill="1" applyBorder="1" applyAlignment="1">
      <alignment horizontal="center" vertical="center"/>
    </xf>
    <xf numFmtId="167" fontId="8" fillId="7" borderId="2" xfId="10" applyFill="1">
      <alignment horizontal="center" vertical="center"/>
    </xf>
    <xf numFmtId="9" fontId="4" fillId="2" borderId="20" xfId="2" applyFont="1" applyFill="1" applyBorder="1" applyAlignment="1">
      <alignment horizontal="center" vertical="center"/>
    </xf>
    <xf numFmtId="167" fontId="8" fillId="2" borderId="2" xfId="10" applyFill="1">
      <alignment horizontal="center" vertical="center"/>
    </xf>
    <xf numFmtId="0" fontId="0" fillId="2" borderId="2" xfId="12" applyFont="1" applyFill="1" applyAlignment="1">
      <alignment horizontal="left" vertical="center" wrapText="1"/>
    </xf>
    <xf numFmtId="0" fontId="0" fillId="7" borderId="2" xfId="12" applyFont="1" applyFill="1" applyAlignment="1">
      <alignment horizontal="left" vertical="center" wrapText="1"/>
    </xf>
    <xf numFmtId="0" fontId="8" fillId="45" borderId="2" xfId="12" applyFill="1" applyAlignment="1">
      <alignment horizontal="left" vertical="center" wrapText="1"/>
    </xf>
    <xf numFmtId="9" fontId="4" fillId="45" borderId="20" xfId="2" applyFont="1" applyFill="1" applyBorder="1" applyAlignment="1">
      <alignment horizontal="center" vertical="center"/>
    </xf>
    <xf numFmtId="167" fontId="8" fillId="45" borderId="2" xfId="10" applyFill="1">
      <alignment horizontal="center" vertical="center"/>
    </xf>
    <xf numFmtId="0" fontId="8" fillId="5" borderId="2" xfId="12" applyFill="1" applyAlignment="1">
      <alignment horizontal="left" vertical="center" wrapText="1"/>
    </xf>
    <xf numFmtId="167" fontId="8" fillId="5" borderId="2" xfId="10" applyFill="1">
      <alignment horizontal="center" vertical="center"/>
    </xf>
    <xf numFmtId="0" fontId="8" fillId="6" borderId="2" xfId="12" applyFill="1" applyAlignment="1">
      <alignment horizontal="left" vertical="center" wrapText="1"/>
    </xf>
    <xf numFmtId="167" fontId="8" fillId="6" borderId="2" xfId="10" applyFill="1">
      <alignment horizontal="center" vertical="center"/>
    </xf>
    <xf numFmtId="0" fontId="8" fillId="9" borderId="2" xfId="12" applyFill="1" applyAlignment="1">
      <alignment horizontal="left" vertical="center" wrapText="1"/>
    </xf>
    <xf numFmtId="167" fontId="8" fillId="9" borderId="2" xfId="10" applyFill="1">
      <alignment horizontal="center" vertical="center"/>
    </xf>
    <xf numFmtId="0" fontId="8" fillId="8" borderId="2" xfId="12" applyFill="1" applyAlignment="1">
      <alignment horizontal="left" vertical="center" wrapText="1"/>
    </xf>
    <xf numFmtId="167" fontId="8" fillId="8" borderId="2" xfId="10" applyFill="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86"/>
  <sheetViews>
    <sheetView showGridLines="0" tabSelected="1" showRuler="0" zoomScaleNormal="100" zoomScalePageLayoutView="70" workbookViewId="0">
      <pane ySplit="6" topLeftCell="A59" activePane="bottomLeft" state="frozen"/>
      <selection pane="bottomLeft" activeCell="E62" sqref="E62"/>
    </sheetView>
  </sheetViews>
  <sheetFormatPr defaultRowHeight="30" customHeight="1" x14ac:dyDescent="0.35"/>
  <cols>
    <col min="1" max="1" width="2.7265625" style="31" customWidth="1"/>
    <col min="2" max="2" width="47" style="34" customWidth="1"/>
    <col min="3" max="3" width="13.7265625" bestFit="1" customWidth="1"/>
    <col min="4" max="4" width="10.453125" style="4" customWidth="1"/>
    <col min="5" max="5" width="10.453125" customWidth="1"/>
    <col min="6" max="6" width="2.7265625" customWidth="1"/>
    <col min="7" max="7" width="6.1796875" hidden="1" customWidth="1"/>
    <col min="8" max="63" width="2.54296875" customWidth="1"/>
    <col min="68" max="69" width="10.26953125"/>
  </cols>
  <sheetData>
    <row r="1" spans="1:63" ht="30" customHeight="1" x14ac:dyDescent="0.65">
      <c r="A1" s="32" t="s">
        <v>0</v>
      </c>
      <c r="B1" s="35" t="s">
        <v>54</v>
      </c>
      <c r="C1" s="1"/>
      <c r="D1" s="3"/>
      <c r="E1" s="20"/>
      <c r="G1" s="1"/>
      <c r="H1" s="37"/>
    </row>
    <row r="2" spans="1:63" ht="30" customHeight="1" x14ac:dyDescent="0.45">
      <c r="A2" s="31" t="s">
        <v>1</v>
      </c>
      <c r="B2" s="71" t="s">
        <v>55</v>
      </c>
      <c r="H2" s="38"/>
    </row>
    <row r="3" spans="1:63" ht="30" customHeight="1" x14ac:dyDescent="0.35">
      <c r="A3" s="31" t="s">
        <v>2</v>
      </c>
      <c r="B3" s="72" t="s">
        <v>56</v>
      </c>
      <c r="C3" s="89" t="s">
        <v>21</v>
      </c>
      <c r="D3" s="97">
        <v>45763</v>
      </c>
      <c r="E3" s="97"/>
    </row>
    <row r="4" spans="1:63" ht="30" customHeight="1" x14ac:dyDescent="0.35">
      <c r="A4" s="32" t="s">
        <v>3</v>
      </c>
      <c r="C4" s="89" t="s">
        <v>22</v>
      </c>
      <c r="D4" s="6">
        <v>1</v>
      </c>
      <c r="H4" s="94">
        <f>H5</f>
        <v>45761</v>
      </c>
      <c r="I4" s="95"/>
      <c r="J4" s="95"/>
      <c r="K4" s="95"/>
      <c r="L4" s="95"/>
      <c r="M4" s="95"/>
      <c r="N4" s="96"/>
      <c r="O4" s="94">
        <f>O5</f>
        <v>45768</v>
      </c>
      <c r="P4" s="95"/>
      <c r="Q4" s="95"/>
      <c r="R4" s="95"/>
      <c r="S4" s="95"/>
      <c r="T4" s="95"/>
      <c r="U4" s="96"/>
      <c r="V4" s="94">
        <f>V5</f>
        <v>45775</v>
      </c>
      <c r="W4" s="95"/>
      <c r="X4" s="95"/>
      <c r="Y4" s="95"/>
      <c r="Z4" s="95"/>
      <c r="AA4" s="95"/>
      <c r="AB4" s="96"/>
      <c r="AC4" s="94">
        <f>AC5</f>
        <v>45782</v>
      </c>
      <c r="AD4" s="95"/>
      <c r="AE4" s="95"/>
      <c r="AF4" s="95"/>
      <c r="AG4" s="95"/>
      <c r="AH4" s="95"/>
      <c r="AI4" s="96"/>
      <c r="AJ4" s="94">
        <f>AJ5</f>
        <v>45789</v>
      </c>
      <c r="AK4" s="95"/>
      <c r="AL4" s="95"/>
      <c r="AM4" s="95"/>
      <c r="AN4" s="95"/>
      <c r="AO4" s="95"/>
      <c r="AP4" s="96"/>
      <c r="AQ4" s="94">
        <f>AQ5</f>
        <v>45796</v>
      </c>
      <c r="AR4" s="95"/>
      <c r="AS4" s="95"/>
      <c r="AT4" s="95"/>
      <c r="AU4" s="95"/>
      <c r="AV4" s="95"/>
      <c r="AW4" s="96"/>
      <c r="AX4" s="94">
        <f>AX5</f>
        <v>45803</v>
      </c>
      <c r="AY4" s="95"/>
      <c r="AZ4" s="95"/>
      <c r="BA4" s="95"/>
      <c r="BB4" s="95"/>
      <c r="BC4" s="95"/>
      <c r="BD4" s="96"/>
      <c r="BE4" s="94">
        <f>BE5</f>
        <v>45810</v>
      </c>
      <c r="BF4" s="95"/>
      <c r="BG4" s="95"/>
      <c r="BH4" s="95"/>
      <c r="BI4" s="95"/>
      <c r="BJ4" s="95"/>
      <c r="BK4" s="96"/>
    </row>
    <row r="5" spans="1:63" ht="15" customHeight="1" x14ac:dyDescent="0.35">
      <c r="A5" s="32" t="s">
        <v>4</v>
      </c>
      <c r="B5" s="73"/>
      <c r="C5" s="36"/>
      <c r="D5" s="36"/>
      <c r="E5" s="36"/>
      <c r="F5" s="36"/>
      <c r="H5" s="52">
        <f>Project_Start-WEEKDAY(Project_Start,1)+2+7*(Display_Week-1)</f>
        <v>45761</v>
      </c>
      <c r="I5" s="53">
        <f>H5+1</f>
        <v>45762</v>
      </c>
      <c r="J5" s="53">
        <f t="shared" ref="J5:AW5" si="0">I5+1</f>
        <v>45763</v>
      </c>
      <c r="K5" s="53">
        <f t="shared" si="0"/>
        <v>45764</v>
      </c>
      <c r="L5" s="53">
        <f t="shared" si="0"/>
        <v>45765</v>
      </c>
      <c r="M5" s="53">
        <f t="shared" si="0"/>
        <v>45766</v>
      </c>
      <c r="N5" s="54">
        <f t="shared" si="0"/>
        <v>45767</v>
      </c>
      <c r="O5" s="52">
        <f>N5+1</f>
        <v>45768</v>
      </c>
      <c r="P5" s="53">
        <f>O5+1</f>
        <v>45769</v>
      </c>
      <c r="Q5" s="53">
        <f t="shared" si="0"/>
        <v>45770</v>
      </c>
      <c r="R5" s="53">
        <f t="shared" si="0"/>
        <v>45771</v>
      </c>
      <c r="S5" s="53">
        <f t="shared" si="0"/>
        <v>45772</v>
      </c>
      <c r="T5" s="53">
        <f t="shared" si="0"/>
        <v>45773</v>
      </c>
      <c r="U5" s="54">
        <f t="shared" si="0"/>
        <v>45774</v>
      </c>
      <c r="V5" s="52">
        <f>U5+1</f>
        <v>45775</v>
      </c>
      <c r="W5" s="53">
        <f>V5+1</f>
        <v>45776</v>
      </c>
      <c r="X5" s="53">
        <f t="shared" si="0"/>
        <v>45777</v>
      </c>
      <c r="Y5" s="53">
        <f t="shared" si="0"/>
        <v>45778</v>
      </c>
      <c r="Z5" s="53">
        <f t="shared" si="0"/>
        <v>45779</v>
      </c>
      <c r="AA5" s="53">
        <f t="shared" si="0"/>
        <v>45780</v>
      </c>
      <c r="AB5" s="54">
        <f t="shared" si="0"/>
        <v>45781</v>
      </c>
      <c r="AC5" s="52">
        <f>AB5+1</f>
        <v>45782</v>
      </c>
      <c r="AD5" s="53">
        <f>AC5+1</f>
        <v>45783</v>
      </c>
      <c r="AE5" s="53">
        <f t="shared" si="0"/>
        <v>45784</v>
      </c>
      <c r="AF5" s="53">
        <f t="shared" si="0"/>
        <v>45785</v>
      </c>
      <c r="AG5" s="53">
        <f t="shared" si="0"/>
        <v>45786</v>
      </c>
      <c r="AH5" s="53">
        <f t="shared" si="0"/>
        <v>45787</v>
      </c>
      <c r="AI5" s="54">
        <f t="shared" si="0"/>
        <v>45788</v>
      </c>
      <c r="AJ5" s="52">
        <f>AI5+1</f>
        <v>45789</v>
      </c>
      <c r="AK5" s="53">
        <f>AJ5+1</f>
        <v>45790</v>
      </c>
      <c r="AL5" s="53">
        <f t="shared" si="0"/>
        <v>45791</v>
      </c>
      <c r="AM5" s="53">
        <f t="shared" si="0"/>
        <v>45792</v>
      </c>
      <c r="AN5" s="53">
        <f t="shared" si="0"/>
        <v>45793</v>
      </c>
      <c r="AO5" s="53">
        <f t="shared" si="0"/>
        <v>45794</v>
      </c>
      <c r="AP5" s="54">
        <f t="shared" si="0"/>
        <v>45795</v>
      </c>
      <c r="AQ5" s="52">
        <f>AP5+1</f>
        <v>45796</v>
      </c>
      <c r="AR5" s="53">
        <f>AQ5+1</f>
        <v>45797</v>
      </c>
      <c r="AS5" s="53">
        <f t="shared" si="0"/>
        <v>45798</v>
      </c>
      <c r="AT5" s="53">
        <f t="shared" si="0"/>
        <v>45799</v>
      </c>
      <c r="AU5" s="53">
        <f t="shared" si="0"/>
        <v>45800</v>
      </c>
      <c r="AV5" s="53">
        <f t="shared" si="0"/>
        <v>45801</v>
      </c>
      <c r="AW5" s="54">
        <f t="shared" si="0"/>
        <v>45802</v>
      </c>
      <c r="AX5" s="52">
        <f>AW5+1</f>
        <v>45803</v>
      </c>
      <c r="AY5" s="53">
        <f>AX5+1</f>
        <v>45804</v>
      </c>
      <c r="AZ5" s="53">
        <f t="shared" ref="AZ5:BD5" si="1">AY5+1</f>
        <v>45805</v>
      </c>
      <c r="BA5" s="53">
        <f t="shared" si="1"/>
        <v>45806</v>
      </c>
      <c r="BB5" s="53">
        <f t="shared" si="1"/>
        <v>45807</v>
      </c>
      <c r="BC5" s="53">
        <f t="shared" si="1"/>
        <v>45808</v>
      </c>
      <c r="BD5" s="54">
        <f t="shared" si="1"/>
        <v>45809</v>
      </c>
      <c r="BE5" s="52">
        <f>BD5+1</f>
        <v>45810</v>
      </c>
      <c r="BF5" s="53">
        <f>BE5+1</f>
        <v>45811</v>
      </c>
      <c r="BG5" s="53">
        <f t="shared" ref="BG5:BK5" si="2">BF5+1</f>
        <v>45812</v>
      </c>
      <c r="BH5" s="53">
        <f t="shared" si="2"/>
        <v>45813</v>
      </c>
      <c r="BI5" s="53">
        <f t="shared" si="2"/>
        <v>45814</v>
      </c>
      <c r="BJ5" s="53">
        <f t="shared" si="2"/>
        <v>45815</v>
      </c>
      <c r="BK5" s="54">
        <f t="shared" si="2"/>
        <v>45816</v>
      </c>
    </row>
    <row r="6" spans="1:63" ht="30" customHeight="1" thickBot="1" x14ac:dyDescent="0.4">
      <c r="A6" s="32" t="s">
        <v>5</v>
      </c>
      <c r="B6" s="74" t="s">
        <v>14</v>
      </c>
      <c r="C6" s="7" t="s">
        <v>23</v>
      </c>
      <c r="D6" s="7" t="s">
        <v>24</v>
      </c>
      <c r="E6" s="7" t="s">
        <v>26</v>
      </c>
      <c r="F6" s="7"/>
      <c r="G6" s="7" t="s">
        <v>27</v>
      </c>
      <c r="H6" s="8" t="str">
        <f t="shared" ref="H6" si="3">LEFT(TEXT(H5,"ddd"),1)</f>
        <v>M</v>
      </c>
      <c r="I6" s="8" t="str">
        <f t="shared" ref="I6:AQ6" si="4">LEFT(TEXT(I5,"ddd"),1)</f>
        <v>T</v>
      </c>
      <c r="J6" s="8" t="str">
        <f t="shared" si="4"/>
        <v>W</v>
      </c>
      <c r="K6" s="8" t="str">
        <f t="shared" si="4"/>
        <v>T</v>
      </c>
      <c r="L6" s="8" t="str">
        <f t="shared" si="4"/>
        <v>F</v>
      </c>
      <c r="M6" s="8" t="str">
        <f t="shared" si="4"/>
        <v>S</v>
      </c>
      <c r="N6" s="8" t="str">
        <f t="shared" si="4"/>
        <v>S</v>
      </c>
      <c r="O6" s="8" t="str">
        <f t="shared" si="4"/>
        <v>M</v>
      </c>
      <c r="P6" s="8" t="str">
        <f t="shared" si="4"/>
        <v>T</v>
      </c>
      <c r="Q6" s="8" t="str">
        <f t="shared" si="4"/>
        <v>W</v>
      </c>
      <c r="R6" s="8" t="str">
        <f t="shared" si="4"/>
        <v>T</v>
      </c>
      <c r="S6" s="8" t="str">
        <f t="shared" si="4"/>
        <v>F</v>
      </c>
      <c r="T6" s="8" t="str">
        <f t="shared" si="4"/>
        <v>S</v>
      </c>
      <c r="U6" s="8" t="str">
        <f t="shared" si="4"/>
        <v>S</v>
      </c>
      <c r="V6" s="8" t="str">
        <f t="shared" si="4"/>
        <v>M</v>
      </c>
      <c r="W6" s="8" t="str">
        <f t="shared" si="4"/>
        <v>T</v>
      </c>
      <c r="X6" s="8" t="str">
        <f t="shared" si="4"/>
        <v>W</v>
      </c>
      <c r="Y6" s="8" t="str">
        <f t="shared" si="4"/>
        <v>T</v>
      </c>
      <c r="Z6" s="8" t="str">
        <f t="shared" si="4"/>
        <v>F</v>
      </c>
      <c r="AA6" s="8" t="str">
        <f t="shared" si="4"/>
        <v>S</v>
      </c>
      <c r="AB6" s="8" t="str">
        <f t="shared" si="4"/>
        <v>S</v>
      </c>
      <c r="AC6" s="8" t="str">
        <f t="shared" si="4"/>
        <v>M</v>
      </c>
      <c r="AD6" s="8" t="str">
        <f t="shared" si="4"/>
        <v>T</v>
      </c>
      <c r="AE6" s="8" t="str">
        <f t="shared" si="4"/>
        <v>W</v>
      </c>
      <c r="AF6" s="8" t="str">
        <f t="shared" si="4"/>
        <v>T</v>
      </c>
      <c r="AG6" s="8" t="str">
        <f t="shared" si="4"/>
        <v>F</v>
      </c>
      <c r="AH6" s="8" t="str">
        <f t="shared" si="4"/>
        <v>S</v>
      </c>
      <c r="AI6" s="8" t="str">
        <f t="shared" si="4"/>
        <v>S</v>
      </c>
      <c r="AJ6" s="8" t="str">
        <f t="shared" si="4"/>
        <v>M</v>
      </c>
      <c r="AK6" s="8" t="str">
        <f t="shared" si="4"/>
        <v>T</v>
      </c>
      <c r="AL6" s="8" t="str">
        <f t="shared" si="4"/>
        <v>W</v>
      </c>
      <c r="AM6" s="8" t="str">
        <f t="shared" si="4"/>
        <v>T</v>
      </c>
      <c r="AN6" s="8" t="str">
        <f t="shared" si="4"/>
        <v>F</v>
      </c>
      <c r="AO6" s="8" t="str">
        <f t="shared" si="4"/>
        <v>S</v>
      </c>
      <c r="AP6" s="8" t="str">
        <f t="shared" si="4"/>
        <v>S</v>
      </c>
      <c r="AQ6" s="8" t="str">
        <f t="shared" si="4"/>
        <v>M</v>
      </c>
      <c r="AR6" s="8" t="str">
        <f t="shared" ref="AR6:BK6" si="5">LEFT(TEXT(AR5,"ddd"),1)</f>
        <v>T</v>
      </c>
      <c r="AS6" s="8" t="str">
        <f t="shared" si="5"/>
        <v>W</v>
      </c>
      <c r="AT6" s="8" t="str">
        <f t="shared" si="5"/>
        <v>T</v>
      </c>
      <c r="AU6" s="8" t="str">
        <f t="shared" si="5"/>
        <v>F</v>
      </c>
      <c r="AV6" s="8" t="str">
        <f t="shared" si="5"/>
        <v>S</v>
      </c>
      <c r="AW6" s="8" t="str">
        <f t="shared" si="5"/>
        <v>S</v>
      </c>
      <c r="AX6" s="8" t="str">
        <f t="shared" si="5"/>
        <v>M</v>
      </c>
      <c r="AY6" s="8" t="str">
        <f t="shared" si="5"/>
        <v>T</v>
      </c>
      <c r="AZ6" s="8" t="str">
        <f t="shared" si="5"/>
        <v>W</v>
      </c>
      <c r="BA6" s="8" t="str">
        <f t="shared" si="5"/>
        <v>T</v>
      </c>
      <c r="BB6" s="8" t="str">
        <f t="shared" si="5"/>
        <v>F</v>
      </c>
      <c r="BC6" s="8" t="str">
        <f t="shared" si="5"/>
        <v>S</v>
      </c>
      <c r="BD6" s="8" t="str">
        <f t="shared" si="5"/>
        <v>S</v>
      </c>
      <c r="BE6" s="8" t="str">
        <f t="shared" si="5"/>
        <v>M</v>
      </c>
      <c r="BF6" s="8" t="str">
        <f t="shared" si="5"/>
        <v>T</v>
      </c>
      <c r="BG6" s="8" t="str">
        <f t="shared" si="5"/>
        <v>W</v>
      </c>
      <c r="BH6" s="8" t="str">
        <f t="shared" si="5"/>
        <v>T</v>
      </c>
      <c r="BI6" s="8" t="str">
        <f t="shared" si="5"/>
        <v>F</v>
      </c>
      <c r="BJ6" s="8" t="str">
        <f t="shared" si="5"/>
        <v>S</v>
      </c>
      <c r="BK6" s="8" t="str">
        <f t="shared" si="5"/>
        <v>S</v>
      </c>
    </row>
    <row r="7" spans="1:63" ht="30" hidden="1" customHeight="1" thickBot="1" x14ac:dyDescent="0.4">
      <c r="A7" s="31" t="s">
        <v>6</v>
      </c>
      <c r="D7"/>
      <c r="G7" t="str">
        <f>IF(OR(ISBLANK(task_start),ISBLANK(task_end)),"",task_end-task_start+1)</f>
        <v/>
      </c>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row>
    <row r="8" spans="1:63" s="2" customFormat="1" ht="30" customHeight="1" thickBot="1" x14ac:dyDescent="0.4">
      <c r="A8" s="32" t="s">
        <v>7</v>
      </c>
      <c r="B8" s="75" t="s">
        <v>43</v>
      </c>
      <c r="C8" s="10"/>
      <c r="D8" s="40"/>
      <c r="E8" s="41"/>
      <c r="F8" s="9"/>
      <c r="G8" s="9" t="str">
        <f t="shared" ref="G8:G84" si="6">IF(OR(ISBLANK(task_start),ISBLANK(task_end)),"",task_end-task_start+1)</f>
        <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row>
    <row r="9" spans="1:63" s="2" customFormat="1" ht="30" customHeight="1" thickBot="1" x14ac:dyDescent="0.4">
      <c r="A9" s="32" t="s">
        <v>8</v>
      </c>
      <c r="B9" s="76" t="s">
        <v>45</v>
      </c>
      <c r="C9" s="11">
        <v>1</v>
      </c>
      <c r="D9" s="42">
        <f>Project_Start</f>
        <v>45763</v>
      </c>
      <c r="E9" s="42">
        <f>D9+1</f>
        <v>45764</v>
      </c>
      <c r="F9" s="9"/>
      <c r="G9" s="9">
        <f t="shared" si="6"/>
        <v>2</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row>
    <row r="10" spans="1:63" s="2" customFormat="1" ht="30" customHeight="1" thickBot="1" x14ac:dyDescent="0.4">
      <c r="A10" s="32" t="s">
        <v>9</v>
      </c>
      <c r="B10" s="76" t="s">
        <v>46</v>
      </c>
      <c r="C10" s="11">
        <v>1</v>
      </c>
      <c r="D10" s="42">
        <f>D9</f>
        <v>45763</v>
      </c>
      <c r="E10" s="42">
        <f>D10+1</f>
        <v>45764</v>
      </c>
      <c r="F10" s="9"/>
      <c r="G10" s="9">
        <f t="shared" si="6"/>
        <v>2</v>
      </c>
      <c r="H10" s="18"/>
      <c r="I10" s="18"/>
      <c r="J10" s="18"/>
      <c r="K10" s="18"/>
      <c r="L10" s="18"/>
      <c r="M10" s="18"/>
      <c r="N10" s="18"/>
      <c r="O10" s="18"/>
      <c r="P10" s="18"/>
      <c r="Q10" s="18"/>
      <c r="R10" s="18"/>
      <c r="S10" s="18"/>
      <c r="T10" s="19"/>
      <c r="U10" s="19"/>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row>
    <row r="11" spans="1:63" s="2" customFormat="1" ht="30" customHeight="1" thickBot="1" x14ac:dyDescent="0.4">
      <c r="A11" s="31"/>
      <c r="B11" s="76" t="s">
        <v>50</v>
      </c>
      <c r="C11" s="11">
        <v>1</v>
      </c>
      <c r="D11" s="42">
        <f>E10+1</f>
        <v>45765</v>
      </c>
      <c r="E11" s="42">
        <f>D11+2</f>
        <v>45767</v>
      </c>
      <c r="F11" s="9"/>
      <c r="G11" s="9">
        <f t="shared" si="6"/>
        <v>3</v>
      </c>
      <c r="H11" s="18"/>
      <c r="I11" s="18"/>
      <c r="J11" s="18"/>
      <c r="K11" s="18"/>
      <c r="L11" s="18"/>
      <c r="M11" s="18"/>
      <c r="N11" s="18"/>
      <c r="O11" s="18"/>
      <c r="P11" s="18"/>
      <c r="Q11" s="18"/>
      <c r="R11" s="18"/>
      <c r="S11" s="18"/>
      <c r="T11" s="18"/>
      <c r="U11" s="18"/>
      <c r="V11" s="18"/>
      <c r="W11" s="18"/>
      <c r="X11" s="19"/>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row>
    <row r="12" spans="1:63" s="2" customFormat="1" ht="30" customHeight="1" thickBot="1" x14ac:dyDescent="0.4">
      <c r="A12" s="31"/>
      <c r="B12" s="76" t="s">
        <v>47</v>
      </c>
      <c r="C12" s="11">
        <v>0.5</v>
      </c>
      <c r="D12" s="42">
        <f>D11</f>
        <v>45765</v>
      </c>
      <c r="E12" s="42">
        <v>45777</v>
      </c>
      <c r="F12" s="9"/>
      <c r="G12" s="9">
        <f t="shared" si="6"/>
        <v>13</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row>
    <row r="13" spans="1:63" s="2" customFormat="1" ht="30" customHeight="1" thickBot="1" x14ac:dyDescent="0.4">
      <c r="A13" s="31"/>
      <c r="B13" s="76" t="s">
        <v>49</v>
      </c>
      <c r="C13" s="11">
        <v>1</v>
      </c>
      <c r="D13" s="42">
        <f>E11+1</f>
        <v>45768</v>
      </c>
      <c r="E13" s="42">
        <f>D13+2</f>
        <v>45770</v>
      </c>
      <c r="F13" s="9"/>
      <c r="G13" s="9">
        <f t="shared" si="6"/>
        <v>3</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row>
    <row r="14" spans="1:63" s="2" customFormat="1" ht="30" customHeight="1" thickBot="1" x14ac:dyDescent="0.4">
      <c r="A14" s="31"/>
      <c r="B14" s="76" t="s">
        <v>51</v>
      </c>
      <c r="C14" s="11">
        <v>1</v>
      </c>
      <c r="D14" s="42">
        <f>E13+1</f>
        <v>45771</v>
      </c>
      <c r="E14" s="42">
        <f>D14+2</f>
        <v>45773</v>
      </c>
      <c r="F14" s="9"/>
      <c r="G14" s="9"/>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row>
    <row r="15" spans="1:63" s="2" customFormat="1" ht="30" customHeight="1" thickBot="1" x14ac:dyDescent="0.4">
      <c r="A15" s="31"/>
      <c r="B15" s="76" t="s">
        <v>52</v>
      </c>
      <c r="C15" s="11">
        <v>0.2</v>
      </c>
      <c r="D15" s="42">
        <f>E14+1</f>
        <v>45774</v>
      </c>
      <c r="E15" s="42">
        <f>D15+2</f>
        <v>45776</v>
      </c>
      <c r="F15" s="9"/>
      <c r="G15" s="9"/>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row>
    <row r="16" spans="1:63" s="2" customFormat="1" ht="30" customHeight="1" thickBot="1" x14ac:dyDescent="0.4">
      <c r="A16" s="31"/>
      <c r="B16" s="76" t="s">
        <v>53</v>
      </c>
      <c r="C16" s="11"/>
      <c r="D16" s="42">
        <f>E15</f>
        <v>45776</v>
      </c>
      <c r="E16" s="42">
        <f>D16+1</f>
        <v>45777</v>
      </c>
      <c r="F16" s="9"/>
      <c r="G16" s="9"/>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row>
    <row r="17" spans="1:63" s="2" customFormat="1" ht="30" customHeight="1" thickBot="1" x14ac:dyDescent="0.4">
      <c r="A17" s="31"/>
      <c r="B17" s="114" t="s">
        <v>44</v>
      </c>
      <c r="C17" s="10">
        <v>0.85</v>
      </c>
      <c r="D17" s="115">
        <v>45763</v>
      </c>
      <c r="E17" s="115">
        <v>45799</v>
      </c>
      <c r="F17" s="9"/>
      <c r="G17" s="9"/>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row>
    <row r="18" spans="1:63" s="2" customFormat="1" ht="30" customHeight="1" thickBot="1" x14ac:dyDescent="0.4">
      <c r="A18" s="32" t="s">
        <v>10</v>
      </c>
      <c r="B18" s="77" t="s">
        <v>103</v>
      </c>
      <c r="C18" s="12"/>
      <c r="D18" s="43"/>
      <c r="E18" s="44"/>
      <c r="F18" s="9"/>
      <c r="G18" s="9" t="str">
        <f t="shared" si="6"/>
        <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row>
    <row r="19" spans="1:63" s="2" customFormat="1" ht="30" customHeight="1" thickBot="1" x14ac:dyDescent="0.4">
      <c r="A19" s="32"/>
      <c r="B19" s="78" t="s">
        <v>65</v>
      </c>
      <c r="C19" s="13">
        <v>1</v>
      </c>
      <c r="D19" s="45">
        <v>45763</v>
      </c>
      <c r="E19" s="45">
        <v>45763</v>
      </c>
      <c r="F19" s="9"/>
      <c r="G19" s="9">
        <f t="shared" si="6"/>
        <v>1</v>
      </c>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row>
    <row r="20" spans="1:63" s="2" customFormat="1" ht="30" customHeight="1" thickBot="1" x14ac:dyDescent="0.4">
      <c r="A20" s="31"/>
      <c r="B20" s="78" t="s">
        <v>62</v>
      </c>
      <c r="C20" s="13">
        <v>1</v>
      </c>
      <c r="D20" s="45">
        <f>D19</f>
        <v>45763</v>
      </c>
      <c r="E20" s="45">
        <f>D20</f>
        <v>45763</v>
      </c>
      <c r="F20" s="9"/>
      <c r="G20" s="9">
        <f t="shared" si="6"/>
        <v>1</v>
      </c>
      <c r="H20" s="18"/>
      <c r="I20" s="18"/>
      <c r="J20" s="18"/>
      <c r="K20" s="18"/>
      <c r="L20" s="18"/>
      <c r="M20" s="18"/>
      <c r="N20" s="18"/>
      <c r="O20" s="18"/>
      <c r="P20" s="18"/>
      <c r="Q20" s="18"/>
      <c r="R20" s="18"/>
      <c r="S20" s="18"/>
      <c r="T20" s="19"/>
      <c r="U20" s="19"/>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row>
    <row r="21" spans="1:63" s="2" customFormat="1" ht="30" customHeight="1" thickBot="1" x14ac:dyDescent="0.4">
      <c r="A21" s="31"/>
      <c r="B21" s="78" t="s">
        <v>63</v>
      </c>
      <c r="C21" s="13">
        <v>1</v>
      </c>
      <c r="D21" s="45">
        <f>D20</f>
        <v>45763</v>
      </c>
      <c r="E21" s="45">
        <f>D21</f>
        <v>45763</v>
      </c>
      <c r="F21" s="9"/>
      <c r="G21" s="9">
        <f t="shared" si="6"/>
        <v>1</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row>
    <row r="22" spans="1:63" s="2" customFormat="1" ht="30" customHeight="1" thickBot="1" x14ac:dyDescent="0.4">
      <c r="A22" s="31"/>
      <c r="B22" s="78" t="s">
        <v>64</v>
      </c>
      <c r="C22" s="13">
        <v>1</v>
      </c>
      <c r="D22" s="45">
        <f>D21</f>
        <v>45763</v>
      </c>
      <c r="E22" s="45">
        <f>D22</f>
        <v>45763</v>
      </c>
      <c r="F22" s="9"/>
      <c r="G22" s="9">
        <f t="shared" si="6"/>
        <v>1</v>
      </c>
      <c r="H22" s="18"/>
      <c r="I22" s="18"/>
      <c r="J22" s="18"/>
      <c r="K22" s="18"/>
      <c r="L22" s="18"/>
      <c r="M22" s="18"/>
      <c r="N22" s="18"/>
      <c r="O22" s="18"/>
      <c r="P22" s="18"/>
      <c r="Q22" s="18"/>
      <c r="R22" s="18"/>
      <c r="S22" s="18"/>
      <c r="T22" s="18"/>
      <c r="U22" s="18"/>
      <c r="V22" s="18"/>
      <c r="W22" s="18"/>
      <c r="X22" s="19"/>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row>
    <row r="23" spans="1:63" s="2" customFormat="1" ht="30" customHeight="1" thickBot="1" x14ac:dyDescent="0.4">
      <c r="A23" s="31"/>
      <c r="B23" s="78" t="s">
        <v>82</v>
      </c>
      <c r="C23" s="13">
        <v>0.75</v>
      </c>
      <c r="D23" s="45">
        <v>45777</v>
      </c>
      <c r="E23" s="45">
        <v>45785</v>
      </c>
      <c r="F23" s="9"/>
      <c r="G23" s="9">
        <f t="shared" si="6"/>
        <v>9</v>
      </c>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row>
    <row r="24" spans="1:63" s="2" customFormat="1" ht="30" customHeight="1" thickBot="1" x14ac:dyDescent="0.4">
      <c r="A24" s="31"/>
      <c r="B24" s="78" t="s">
        <v>79</v>
      </c>
      <c r="C24" s="13">
        <v>1</v>
      </c>
      <c r="D24" s="45">
        <v>45777</v>
      </c>
      <c r="E24" s="45">
        <v>45777</v>
      </c>
      <c r="F24" s="9"/>
      <c r="G24" s="9"/>
      <c r="H24" s="18"/>
      <c r="I24" s="18"/>
      <c r="J24" s="18"/>
      <c r="K24" s="18"/>
      <c r="L24" s="18"/>
      <c r="M24" s="18"/>
      <c r="N24" s="18"/>
      <c r="O24" s="18"/>
      <c r="P24" s="18"/>
      <c r="Q24" s="18"/>
      <c r="R24" s="18"/>
      <c r="S24" s="18"/>
      <c r="T24" s="18"/>
      <c r="U24" s="18"/>
      <c r="V24" s="18"/>
      <c r="W24" s="18"/>
      <c r="X24" s="19"/>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row>
    <row r="25" spans="1:63" s="2" customFormat="1" ht="30" customHeight="1" thickBot="1" x14ac:dyDescent="0.4">
      <c r="A25" s="31"/>
      <c r="B25" s="78" t="s">
        <v>80</v>
      </c>
      <c r="C25" s="13">
        <v>1</v>
      </c>
      <c r="D25" s="45">
        <v>45777</v>
      </c>
      <c r="E25" s="45">
        <v>45777</v>
      </c>
      <c r="F25" s="9"/>
      <c r="G25" s="9"/>
      <c r="H25" s="18"/>
      <c r="I25" s="18"/>
      <c r="J25" s="18"/>
      <c r="K25" s="18"/>
      <c r="L25" s="18"/>
      <c r="M25" s="18"/>
      <c r="N25" s="18"/>
      <c r="O25" s="18"/>
      <c r="P25" s="18"/>
      <c r="Q25" s="18"/>
      <c r="R25" s="18"/>
      <c r="S25" s="18"/>
      <c r="T25" s="18"/>
      <c r="U25" s="18"/>
      <c r="V25" s="18"/>
      <c r="W25" s="18"/>
      <c r="X25" s="19"/>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row>
    <row r="26" spans="1:63" s="2" customFormat="1" ht="30" customHeight="1" thickBot="1" x14ac:dyDescent="0.4">
      <c r="A26" s="31"/>
      <c r="B26" s="78" t="s">
        <v>81</v>
      </c>
      <c r="C26" s="13">
        <v>1</v>
      </c>
      <c r="D26" s="45">
        <v>45777</v>
      </c>
      <c r="E26" s="45">
        <v>45777</v>
      </c>
      <c r="F26" s="9"/>
      <c r="G26" s="9"/>
      <c r="H26" s="18"/>
      <c r="I26" s="18"/>
      <c r="J26" s="18"/>
      <c r="K26" s="18"/>
      <c r="L26" s="18"/>
      <c r="M26" s="18"/>
      <c r="N26" s="18"/>
      <c r="O26" s="18"/>
      <c r="P26" s="18"/>
      <c r="Q26" s="18"/>
      <c r="R26" s="18"/>
      <c r="S26" s="18"/>
      <c r="T26" s="18"/>
      <c r="U26" s="18"/>
      <c r="V26" s="18"/>
      <c r="W26" s="18"/>
      <c r="X26" s="19"/>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row>
    <row r="27" spans="1:63" s="2" customFormat="1" ht="30" customHeight="1" thickBot="1" x14ac:dyDescent="0.4">
      <c r="A27" s="31"/>
      <c r="B27" s="78" t="s">
        <v>84</v>
      </c>
      <c r="C27" s="13">
        <v>1</v>
      </c>
      <c r="D27" s="45">
        <v>45778</v>
      </c>
      <c r="E27" s="45">
        <v>45778</v>
      </c>
      <c r="F27" s="9"/>
      <c r="G27" s="9"/>
      <c r="H27" s="18"/>
      <c r="I27" s="18"/>
      <c r="J27" s="18"/>
      <c r="K27" s="18"/>
      <c r="L27" s="18"/>
      <c r="M27" s="18"/>
      <c r="N27" s="18"/>
      <c r="O27" s="18"/>
      <c r="P27" s="18"/>
      <c r="Q27" s="18"/>
      <c r="R27" s="18"/>
      <c r="S27" s="18"/>
      <c r="T27" s="18"/>
      <c r="U27" s="18"/>
      <c r="V27" s="18"/>
      <c r="W27" s="18"/>
      <c r="X27" s="19"/>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row>
    <row r="28" spans="1:63" s="2" customFormat="1" ht="30" customHeight="1" thickBot="1" x14ac:dyDescent="0.4">
      <c r="A28" s="31"/>
      <c r="B28" s="78" t="s">
        <v>85</v>
      </c>
      <c r="C28" s="13">
        <v>1</v>
      </c>
      <c r="D28" s="45">
        <v>45778</v>
      </c>
      <c r="E28" s="45">
        <v>45778</v>
      </c>
      <c r="F28" s="9"/>
      <c r="G28" s="9"/>
      <c r="H28" s="18"/>
      <c r="I28" s="18"/>
      <c r="J28" s="18"/>
      <c r="K28" s="18"/>
      <c r="L28" s="18"/>
      <c r="M28" s="18"/>
      <c r="N28" s="18"/>
      <c r="O28" s="18"/>
      <c r="P28" s="18"/>
      <c r="Q28" s="18"/>
      <c r="R28" s="18"/>
      <c r="S28" s="18"/>
      <c r="T28" s="18"/>
      <c r="U28" s="18"/>
      <c r="V28" s="18"/>
      <c r="W28" s="18"/>
      <c r="X28" s="19"/>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row>
    <row r="29" spans="1:63" s="2" customFormat="1" ht="30" customHeight="1" thickBot="1" x14ac:dyDescent="0.4">
      <c r="A29" s="31"/>
      <c r="B29" s="78" t="s">
        <v>86</v>
      </c>
      <c r="C29" s="13">
        <v>1</v>
      </c>
      <c r="D29" s="45">
        <v>45778</v>
      </c>
      <c r="E29" s="45">
        <v>45778</v>
      </c>
      <c r="F29" s="9"/>
      <c r="G29" s="9"/>
      <c r="H29" s="18"/>
      <c r="I29" s="18"/>
      <c r="J29" s="18"/>
      <c r="K29" s="18"/>
      <c r="L29" s="18"/>
      <c r="M29" s="18"/>
      <c r="N29" s="18"/>
      <c r="O29" s="18"/>
      <c r="P29" s="18"/>
      <c r="Q29" s="18"/>
      <c r="R29" s="18"/>
      <c r="S29" s="18"/>
      <c r="T29" s="18"/>
      <c r="U29" s="18"/>
      <c r="V29" s="18"/>
      <c r="W29" s="18"/>
      <c r="X29" s="19"/>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row>
    <row r="30" spans="1:63" s="2" customFormat="1" ht="30" customHeight="1" thickBot="1" x14ac:dyDescent="0.4">
      <c r="A30" s="31"/>
      <c r="B30" s="78" t="s">
        <v>87</v>
      </c>
      <c r="C30" s="13">
        <v>1</v>
      </c>
      <c r="D30" s="45">
        <v>45778</v>
      </c>
      <c r="E30" s="45">
        <v>45778</v>
      </c>
      <c r="F30" s="9"/>
      <c r="G30" s="9"/>
      <c r="H30" s="18"/>
      <c r="I30" s="18"/>
      <c r="J30" s="18"/>
      <c r="K30" s="18"/>
      <c r="L30" s="18"/>
      <c r="M30" s="18"/>
      <c r="N30" s="18"/>
      <c r="O30" s="18"/>
      <c r="P30" s="18"/>
      <c r="Q30" s="18"/>
      <c r="R30" s="18"/>
      <c r="S30" s="18"/>
      <c r="T30" s="18"/>
      <c r="U30" s="18"/>
      <c r="V30" s="18"/>
      <c r="W30" s="18"/>
      <c r="X30" s="19"/>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row>
    <row r="31" spans="1:63" s="2" customFormat="1" ht="30" customHeight="1" thickBot="1" x14ac:dyDescent="0.4">
      <c r="A31" s="31" t="s">
        <v>88</v>
      </c>
      <c r="B31" s="78" t="s">
        <v>89</v>
      </c>
      <c r="C31" s="13">
        <v>1</v>
      </c>
      <c r="D31" s="45">
        <v>45778</v>
      </c>
      <c r="E31" s="45">
        <v>45778</v>
      </c>
      <c r="F31" s="9"/>
      <c r="G31" s="9"/>
      <c r="H31" s="18"/>
      <c r="I31" s="18"/>
      <c r="J31" s="18"/>
      <c r="K31" s="18"/>
      <c r="L31" s="18"/>
      <c r="M31" s="18"/>
      <c r="N31" s="18"/>
      <c r="O31" s="18"/>
      <c r="P31" s="18"/>
      <c r="Q31" s="18"/>
      <c r="R31" s="18"/>
      <c r="S31" s="18"/>
      <c r="T31" s="18"/>
      <c r="U31" s="18"/>
      <c r="V31" s="18"/>
      <c r="W31" s="18"/>
      <c r="X31" s="19"/>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row>
    <row r="32" spans="1:63" s="2" customFormat="1" ht="30" customHeight="1" thickBot="1" x14ac:dyDescent="0.4">
      <c r="A32" s="31"/>
      <c r="B32" s="78" t="s">
        <v>83</v>
      </c>
      <c r="C32" s="13">
        <v>1</v>
      </c>
      <c r="D32" s="45">
        <v>45778</v>
      </c>
      <c r="E32" s="45">
        <v>45778</v>
      </c>
      <c r="F32" s="9"/>
      <c r="G32" s="9"/>
      <c r="H32" s="18"/>
      <c r="I32" s="18"/>
      <c r="J32" s="18"/>
      <c r="K32" s="18"/>
      <c r="L32" s="18"/>
      <c r="M32" s="18"/>
      <c r="N32" s="18"/>
      <c r="O32" s="18"/>
      <c r="P32" s="18"/>
      <c r="Q32" s="18"/>
      <c r="R32" s="18"/>
      <c r="S32" s="18"/>
      <c r="T32" s="18"/>
      <c r="U32" s="18"/>
      <c r="V32" s="18"/>
      <c r="W32" s="18"/>
      <c r="X32" s="19"/>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row>
    <row r="33" spans="1:63" s="2" customFormat="1" ht="30" customHeight="1" thickBot="1" x14ac:dyDescent="0.4">
      <c r="A33" s="31"/>
      <c r="B33" s="78" t="s">
        <v>90</v>
      </c>
      <c r="C33" s="13">
        <v>1</v>
      </c>
      <c r="D33" s="45">
        <v>45779</v>
      </c>
      <c r="E33" s="45">
        <v>45779</v>
      </c>
      <c r="F33" s="9"/>
      <c r="G33" s="9"/>
      <c r="H33" s="18"/>
      <c r="I33" s="18"/>
      <c r="J33" s="18"/>
      <c r="K33" s="18"/>
      <c r="L33" s="18"/>
      <c r="M33" s="18"/>
      <c r="N33" s="18"/>
      <c r="O33" s="18"/>
      <c r="P33" s="18"/>
      <c r="Q33" s="18"/>
      <c r="R33" s="18"/>
      <c r="S33" s="18"/>
      <c r="T33" s="18"/>
      <c r="U33" s="18"/>
      <c r="V33" s="18"/>
      <c r="W33" s="18"/>
      <c r="X33" s="19"/>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row>
    <row r="34" spans="1:63" s="2" customFormat="1" ht="30" customHeight="1" thickBot="1" x14ac:dyDescent="0.4">
      <c r="A34" s="31"/>
      <c r="B34" s="78" t="s">
        <v>91</v>
      </c>
      <c r="C34" s="13">
        <v>1</v>
      </c>
      <c r="D34" s="45">
        <v>45779</v>
      </c>
      <c r="E34" s="45">
        <v>45779</v>
      </c>
      <c r="F34" s="9"/>
      <c r="G34" s="9"/>
      <c r="H34" s="18"/>
      <c r="I34" s="18"/>
      <c r="J34" s="18"/>
      <c r="K34" s="18"/>
      <c r="L34" s="18"/>
      <c r="M34" s="18"/>
      <c r="N34" s="18"/>
      <c r="O34" s="18"/>
      <c r="P34" s="18"/>
      <c r="Q34" s="18"/>
      <c r="R34" s="18"/>
      <c r="S34" s="18"/>
      <c r="T34" s="18"/>
      <c r="U34" s="18"/>
      <c r="V34" s="18"/>
      <c r="W34" s="18"/>
      <c r="X34" s="19"/>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row>
    <row r="35" spans="1:63" s="2" customFormat="1" ht="30" customHeight="1" thickBot="1" x14ac:dyDescent="0.4">
      <c r="A35" s="31"/>
      <c r="B35" s="78" t="s">
        <v>94</v>
      </c>
      <c r="C35" s="13">
        <v>1</v>
      </c>
      <c r="D35" s="45">
        <v>45779</v>
      </c>
      <c r="E35" s="45">
        <v>45779</v>
      </c>
      <c r="F35" s="9"/>
      <c r="G35" s="9"/>
      <c r="H35" s="18"/>
      <c r="I35" s="18"/>
      <c r="J35" s="18"/>
      <c r="K35" s="18"/>
      <c r="L35" s="18"/>
      <c r="M35" s="18"/>
      <c r="N35" s="18"/>
      <c r="O35" s="18"/>
      <c r="P35" s="18"/>
      <c r="Q35" s="18"/>
      <c r="R35" s="18"/>
      <c r="S35" s="18"/>
      <c r="T35" s="18"/>
      <c r="U35" s="18"/>
      <c r="V35" s="18"/>
      <c r="W35" s="18"/>
      <c r="X35" s="19"/>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s="2" customFormat="1" ht="30" customHeight="1" thickBot="1" x14ac:dyDescent="0.4">
      <c r="A36" s="31"/>
      <c r="B36" s="78" t="s">
        <v>95</v>
      </c>
      <c r="C36" s="13">
        <v>1</v>
      </c>
      <c r="D36" s="45">
        <v>45779</v>
      </c>
      <c r="E36" s="45">
        <v>45779</v>
      </c>
      <c r="F36" s="9"/>
      <c r="G36" s="9"/>
      <c r="H36" s="18"/>
      <c r="I36" s="18"/>
      <c r="J36" s="18"/>
      <c r="K36" s="18"/>
      <c r="L36" s="18"/>
      <c r="M36" s="18"/>
      <c r="N36" s="18"/>
      <c r="O36" s="18"/>
      <c r="P36" s="18"/>
      <c r="Q36" s="18"/>
      <c r="R36" s="18"/>
      <c r="S36" s="18"/>
      <c r="T36" s="18"/>
      <c r="U36" s="18"/>
      <c r="V36" s="18"/>
      <c r="W36" s="18"/>
      <c r="X36" s="19"/>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row>
    <row r="37" spans="1:63" s="2" customFormat="1" ht="30" customHeight="1" thickBot="1" x14ac:dyDescent="0.4">
      <c r="A37" s="31"/>
      <c r="B37" s="78" t="s">
        <v>96</v>
      </c>
      <c r="C37" s="13">
        <v>1</v>
      </c>
      <c r="D37" s="45">
        <v>45779</v>
      </c>
      <c r="E37" s="45">
        <v>45779</v>
      </c>
      <c r="F37" s="9"/>
      <c r="G37" s="9"/>
      <c r="H37" s="18"/>
      <c r="I37" s="18"/>
      <c r="J37" s="18"/>
      <c r="K37" s="18"/>
      <c r="L37" s="18"/>
      <c r="M37" s="18"/>
      <c r="N37" s="18"/>
      <c r="O37" s="18"/>
      <c r="P37" s="18"/>
      <c r="Q37" s="18"/>
      <c r="R37" s="18"/>
      <c r="S37" s="18"/>
      <c r="T37" s="18"/>
      <c r="U37" s="18"/>
      <c r="V37" s="18"/>
      <c r="W37" s="18"/>
      <c r="X37" s="19"/>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row>
    <row r="38" spans="1:63" s="2" customFormat="1" ht="30" customHeight="1" thickBot="1" x14ac:dyDescent="0.4">
      <c r="A38" s="31"/>
      <c r="B38" s="78" t="s">
        <v>92</v>
      </c>
      <c r="C38" s="13">
        <v>1</v>
      </c>
      <c r="D38" s="45">
        <v>45779</v>
      </c>
      <c r="E38" s="45">
        <v>45779</v>
      </c>
      <c r="F38" s="9"/>
      <c r="G38" s="9"/>
      <c r="H38" s="18"/>
      <c r="I38" s="18"/>
      <c r="J38" s="18"/>
      <c r="K38" s="18"/>
      <c r="L38" s="18"/>
      <c r="M38" s="18"/>
      <c r="N38" s="18"/>
      <c r="O38" s="18"/>
      <c r="P38" s="18"/>
      <c r="Q38" s="18"/>
      <c r="R38" s="18"/>
      <c r="S38" s="18"/>
      <c r="T38" s="18"/>
      <c r="U38" s="18"/>
      <c r="V38" s="18"/>
      <c r="W38" s="18"/>
      <c r="X38" s="19"/>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row>
    <row r="39" spans="1:63" s="2" customFormat="1" ht="30" customHeight="1" thickBot="1" x14ac:dyDescent="0.4">
      <c r="A39" s="31"/>
      <c r="B39" s="78" t="s">
        <v>93</v>
      </c>
      <c r="C39" s="13">
        <v>1</v>
      </c>
      <c r="D39" s="45">
        <v>45779</v>
      </c>
      <c r="E39" s="45">
        <v>45779</v>
      </c>
      <c r="F39" s="9"/>
      <c r="G39" s="9"/>
      <c r="H39" s="18"/>
      <c r="I39" s="18"/>
      <c r="J39" s="18"/>
      <c r="K39" s="18"/>
      <c r="L39" s="18"/>
      <c r="M39" s="18"/>
      <c r="N39" s="18"/>
      <c r="O39" s="18"/>
      <c r="P39" s="18"/>
      <c r="Q39" s="18"/>
      <c r="R39" s="18"/>
      <c r="S39" s="18"/>
      <c r="T39" s="18"/>
      <c r="U39" s="18"/>
      <c r="V39" s="18"/>
      <c r="W39" s="18"/>
      <c r="X39" s="19"/>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row>
    <row r="40" spans="1:63" s="2" customFormat="1" ht="30" customHeight="1" thickBot="1" x14ac:dyDescent="0.4">
      <c r="A40" s="31"/>
      <c r="B40" s="112" t="s">
        <v>44</v>
      </c>
      <c r="C40" s="12">
        <v>0.9</v>
      </c>
      <c r="D40" s="113">
        <v>45763</v>
      </c>
      <c r="E40" s="113">
        <v>45806</v>
      </c>
      <c r="F40" s="9"/>
      <c r="G40" s="9"/>
      <c r="H40" s="18"/>
      <c r="I40" s="18"/>
      <c r="J40" s="18"/>
      <c r="K40" s="18"/>
      <c r="L40" s="18"/>
      <c r="M40" s="18"/>
      <c r="N40" s="18"/>
      <c r="O40" s="18"/>
      <c r="P40" s="18"/>
      <c r="Q40" s="18"/>
      <c r="R40" s="18"/>
      <c r="S40" s="18"/>
      <c r="T40" s="18"/>
      <c r="U40" s="18"/>
      <c r="V40" s="18"/>
      <c r="W40" s="18"/>
      <c r="X40" s="19"/>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row>
    <row r="41" spans="1:63" s="2" customFormat="1" ht="30" customHeight="1" thickBot="1" x14ac:dyDescent="0.4">
      <c r="A41" s="31" t="s">
        <v>11</v>
      </c>
      <c r="B41" s="79" t="s">
        <v>104</v>
      </c>
      <c r="C41" s="14"/>
      <c r="D41" s="46"/>
      <c r="E41" s="47"/>
      <c r="F41" s="9"/>
      <c r="G41" s="9" t="str">
        <f t="shared" si="6"/>
        <v/>
      </c>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row>
    <row r="42" spans="1:63" s="2" customFormat="1" ht="30" customHeight="1" thickBot="1" x14ac:dyDescent="0.4">
      <c r="A42" s="31"/>
      <c r="B42" s="92" t="s">
        <v>61</v>
      </c>
      <c r="C42" s="15">
        <v>1</v>
      </c>
      <c r="D42" s="90">
        <f>D19</f>
        <v>45763</v>
      </c>
      <c r="E42" s="91">
        <f>E19</f>
        <v>45763</v>
      </c>
      <c r="F42" s="9"/>
      <c r="G42" s="9"/>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row>
    <row r="43" spans="1:63" s="2" customFormat="1" ht="30" customHeight="1" thickBot="1" x14ac:dyDescent="0.4">
      <c r="A43" s="31"/>
      <c r="B43" s="80" t="s">
        <v>50</v>
      </c>
      <c r="C43" s="15"/>
      <c r="D43" s="48"/>
      <c r="E43" s="48"/>
      <c r="F43" s="9"/>
      <c r="G43" s="9" t="str">
        <f t="shared" si="6"/>
        <v/>
      </c>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row>
    <row r="44" spans="1:63" s="2" customFormat="1" ht="30" customHeight="1" thickBot="1" x14ac:dyDescent="0.4">
      <c r="A44" s="31"/>
      <c r="B44" s="80" t="s">
        <v>16</v>
      </c>
      <c r="C44" s="15"/>
      <c r="D44" s="48"/>
      <c r="E44" s="48"/>
      <c r="F44" s="9"/>
      <c r="G44" s="9" t="str">
        <f t="shared" si="6"/>
        <v/>
      </c>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row>
    <row r="45" spans="1:63" s="2" customFormat="1" ht="30" customHeight="1" thickBot="1" x14ac:dyDescent="0.4">
      <c r="A45" s="31"/>
      <c r="B45" s="80" t="s">
        <v>17</v>
      </c>
      <c r="C45" s="15"/>
      <c r="D45" s="48"/>
      <c r="E45" s="48"/>
      <c r="F45" s="9"/>
      <c r="G45" s="9" t="str">
        <f t="shared" si="6"/>
        <v/>
      </c>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row>
    <row r="46" spans="1:63" s="2" customFormat="1" ht="30" customHeight="1" thickBot="1" x14ac:dyDescent="0.4">
      <c r="A46" s="31"/>
      <c r="B46" s="80" t="s">
        <v>18</v>
      </c>
      <c r="C46" s="15"/>
      <c r="D46" s="48"/>
      <c r="E46" s="48"/>
      <c r="F46" s="9"/>
      <c r="G46" s="9" t="str">
        <f t="shared" si="6"/>
        <v/>
      </c>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row>
    <row r="47" spans="1:63" s="2" customFormat="1" ht="30" customHeight="1" thickBot="1" x14ac:dyDescent="0.4">
      <c r="A47" s="31"/>
      <c r="B47" s="80" t="s">
        <v>19</v>
      </c>
      <c r="C47" s="15"/>
      <c r="D47" s="48"/>
      <c r="E47" s="48"/>
      <c r="F47" s="9"/>
      <c r="G47" s="9" t="str">
        <f t="shared" si="6"/>
        <v/>
      </c>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row>
    <row r="48" spans="1:63" s="2" customFormat="1" ht="30" customHeight="1" thickBot="1" x14ac:dyDescent="0.4">
      <c r="A48" s="31"/>
      <c r="B48" s="110" t="s">
        <v>44</v>
      </c>
      <c r="C48" s="14">
        <v>0.1</v>
      </c>
      <c r="D48" s="111">
        <v>45763</v>
      </c>
      <c r="E48" s="111">
        <v>45822</v>
      </c>
      <c r="F48" s="9"/>
      <c r="G48" s="9"/>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row>
    <row r="49" spans="1:63" s="2" customFormat="1" ht="30" customHeight="1" thickBot="1" x14ac:dyDescent="0.4">
      <c r="A49" s="31" t="s">
        <v>11</v>
      </c>
      <c r="B49" s="85" t="s">
        <v>105</v>
      </c>
      <c r="C49" s="16"/>
      <c r="D49" s="49"/>
      <c r="E49" s="50"/>
      <c r="F49" s="9"/>
      <c r="G49" s="9" t="str">
        <f t="shared" si="6"/>
        <v/>
      </c>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row>
    <row r="50" spans="1:63" s="2" customFormat="1" ht="30" customHeight="1" thickBot="1" x14ac:dyDescent="0.4">
      <c r="A50" s="31"/>
      <c r="B50" s="81" t="s">
        <v>15</v>
      </c>
      <c r="C50" s="17"/>
      <c r="D50" s="51" t="s">
        <v>25</v>
      </c>
      <c r="E50" s="51" t="s">
        <v>25</v>
      </c>
      <c r="F50" s="9"/>
      <c r="G50" s="9" t="e">
        <f t="shared" si="6"/>
        <v>#VALUE!</v>
      </c>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row>
    <row r="51" spans="1:63" s="2" customFormat="1" ht="30" customHeight="1" thickBot="1" x14ac:dyDescent="0.4">
      <c r="A51" s="31"/>
      <c r="B51" s="81" t="s">
        <v>16</v>
      </c>
      <c r="C51" s="17"/>
      <c r="D51" s="51" t="s">
        <v>25</v>
      </c>
      <c r="E51" s="51" t="s">
        <v>25</v>
      </c>
      <c r="F51" s="9"/>
      <c r="G51" s="9" t="e">
        <f t="shared" si="6"/>
        <v>#VALUE!</v>
      </c>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row>
    <row r="52" spans="1:63" s="2" customFormat="1" ht="30" customHeight="1" thickBot="1" x14ac:dyDescent="0.4">
      <c r="A52" s="31"/>
      <c r="B52" s="81" t="s">
        <v>17</v>
      </c>
      <c r="C52" s="17"/>
      <c r="D52" s="51" t="s">
        <v>25</v>
      </c>
      <c r="E52" s="51" t="s">
        <v>25</v>
      </c>
      <c r="F52" s="9"/>
      <c r="G52" s="9" t="e">
        <f t="shared" si="6"/>
        <v>#VALUE!</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row>
    <row r="53" spans="1:63" s="2" customFormat="1" ht="30" customHeight="1" thickBot="1" x14ac:dyDescent="0.4">
      <c r="A53" s="31"/>
      <c r="B53" s="81" t="s">
        <v>18</v>
      </c>
      <c r="C53" s="17"/>
      <c r="D53" s="51" t="s">
        <v>25</v>
      </c>
      <c r="E53" s="51" t="s">
        <v>25</v>
      </c>
      <c r="F53" s="9"/>
      <c r="G53" s="9" t="e">
        <f t="shared" si="6"/>
        <v>#VALUE!</v>
      </c>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row>
    <row r="54" spans="1:63" s="2" customFormat="1" ht="30" customHeight="1" thickBot="1" x14ac:dyDescent="0.4">
      <c r="A54" s="31"/>
      <c r="B54" s="81" t="s">
        <v>19</v>
      </c>
      <c r="C54" s="17"/>
      <c r="D54" s="51" t="s">
        <v>25</v>
      </c>
      <c r="E54" s="51" t="s">
        <v>25</v>
      </c>
      <c r="F54" s="9"/>
      <c r="G54" s="9" t="e">
        <f t="shared" si="6"/>
        <v>#VALUE!</v>
      </c>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row>
    <row r="55" spans="1:63" s="2" customFormat="1" ht="30" customHeight="1" thickBot="1" x14ac:dyDescent="0.4">
      <c r="A55" s="31"/>
      <c r="B55" s="108" t="s">
        <v>44</v>
      </c>
      <c r="C55" s="16"/>
      <c r="D55" s="109">
        <v>45809</v>
      </c>
      <c r="E55" s="109">
        <v>45823</v>
      </c>
      <c r="F55" s="9"/>
      <c r="G55" s="9"/>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row>
    <row r="56" spans="1:63" s="2" customFormat="1" ht="30" customHeight="1" thickBot="1" x14ac:dyDescent="0.4">
      <c r="A56" s="31" t="s">
        <v>12</v>
      </c>
      <c r="B56" s="82" t="s">
        <v>106</v>
      </c>
      <c r="C56" s="55"/>
      <c r="D56" s="56"/>
      <c r="E56" s="57"/>
      <c r="F56" s="9"/>
      <c r="G56" s="9" t="str">
        <f t="shared" si="6"/>
        <v/>
      </c>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row>
    <row r="57" spans="1:63" s="2" customFormat="1" ht="30" customHeight="1" thickBot="1" x14ac:dyDescent="0.4">
      <c r="A57" s="31"/>
      <c r="B57" s="88" t="s">
        <v>66</v>
      </c>
      <c r="C57" s="67">
        <v>1</v>
      </c>
      <c r="D57" s="93"/>
      <c r="E57" s="87"/>
      <c r="F57" s="9"/>
      <c r="G57" s="9"/>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row>
    <row r="58" spans="1:63" s="2" customFormat="1" ht="30" customHeight="1" thickBot="1" x14ac:dyDescent="0.4">
      <c r="A58" s="31"/>
      <c r="B58" s="88" t="s">
        <v>67</v>
      </c>
      <c r="C58" s="67">
        <v>1</v>
      </c>
      <c r="D58" s="93"/>
      <c r="E58" s="87"/>
      <c r="F58" s="9"/>
      <c r="G58" s="9"/>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row>
    <row r="59" spans="1:63" s="2" customFormat="1" ht="30" customHeight="1" thickBot="1" x14ac:dyDescent="0.4">
      <c r="A59" s="31"/>
      <c r="B59" s="88" t="s">
        <v>68</v>
      </c>
      <c r="C59" s="67">
        <v>1</v>
      </c>
      <c r="D59" s="93"/>
      <c r="E59" s="87"/>
      <c r="F59" s="9"/>
      <c r="G59" s="9"/>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row>
    <row r="60" spans="1:63" s="2" customFormat="1" ht="30" customHeight="1" thickBot="1" x14ac:dyDescent="0.4">
      <c r="A60" s="31"/>
      <c r="B60" s="88" t="s">
        <v>71</v>
      </c>
      <c r="C60" s="67">
        <v>0.85</v>
      </c>
      <c r="D60" s="93">
        <v>45777</v>
      </c>
      <c r="E60" s="87">
        <v>45785</v>
      </c>
      <c r="F60" s="9"/>
      <c r="G60" s="9"/>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row>
    <row r="61" spans="1:63" s="2" customFormat="1" ht="30" customHeight="1" thickBot="1" x14ac:dyDescent="0.4">
      <c r="A61" s="31"/>
      <c r="B61" s="88" t="s">
        <v>97</v>
      </c>
      <c r="C61" s="67">
        <v>0.95</v>
      </c>
      <c r="D61" s="93">
        <v>45785</v>
      </c>
      <c r="E61" s="87">
        <v>45799</v>
      </c>
      <c r="F61" s="9"/>
      <c r="G61" s="9"/>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row>
    <row r="62" spans="1:63" s="2" customFormat="1" ht="30" customHeight="1" thickBot="1" x14ac:dyDescent="0.4">
      <c r="A62" s="31"/>
      <c r="B62" s="88" t="s">
        <v>69</v>
      </c>
      <c r="C62" s="67"/>
      <c r="D62" s="93"/>
      <c r="E62" s="87"/>
      <c r="F62" s="9"/>
      <c r="G62" s="9"/>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row>
    <row r="63" spans="1:63" s="2" customFormat="1" ht="30" customHeight="1" thickBot="1" x14ac:dyDescent="0.4">
      <c r="A63" s="31"/>
      <c r="B63" s="88" t="s">
        <v>70</v>
      </c>
      <c r="C63" s="67"/>
      <c r="D63" s="93"/>
      <c r="E63" s="87"/>
      <c r="F63" s="9"/>
      <c r="G63" s="9"/>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row>
    <row r="64" spans="1:63" s="2" customFormat="1" ht="30" customHeight="1" thickBot="1" x14ac:dyDescent="0.4">
      <c r="A64" s="31"/>
      <c r="B64" s="88" t="s">
        <v>72</v>
      </c>
      <c r="C64" s="67"/>
      <c r="D64" s="93"/>
      <c r="E64" s="87"/>
      <c r="F64" s="9"/>
      <c r="G64" s="9"/>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row>
    <row r="65" spans="1:63" s="2" customFormat="1" ht="30" customHeight="1" thickBot="1" x14ac:dyDescent="0.4">
      <c r="A65" s="31"/>
      <c r="B65" s="88" t="s">
        <v>73</v>
      </c>
      <c r="C65" s="67"/>
      <c r="D65" s="93"/>
      <c r="E65" s="87"/>
      <c r="F65" s="9"/>
      <c r="G65" s="9"/>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row>
    <row r="66" spans="1:63" s="2" customFormat="1" ht="30" customHeight="1" thickBot="1" x14ac:dyDescent="0.4">
      <c r="A66" s="31"/>
      <c r="B66" s="88" t="s">
        <v>48</v>
      </c>
      <c r="C66" s="67">
        <v>0.6</v>
      </c>
      <c r="D66" s="93">
        <v>45765</v>
      </c>
      <c r="E66" s="87"/>
      <c r="F66" s="9"/>
      <c r="G66" s="9"/>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row>
    <row r="67" spans="1:63" s="2" customFormat="1" ht="30" customHeight="1" thickBot="1" x14ac:dyDescent="0.4">
      <c r="A67" s="31"/>
      <c r="B67" s="88" t="s">
        <v>74</v>
      </c>
      <c r="C67" s="67"/>
      <c r="D67" s="93"/>
      <c r="E67" s="87"/>
      <c r="F67" s="9"/>
      <c r="G67" s="9"/>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row>
    <row r="68" spans="1:63" s="2" customFormat="1" ht="30" customHeight="1" thickBot="1" x14ac:dyDescent="0.4">
      <c r="A68" s="31"/>
      <c r="B68" s="88" t="s">
        <v>75</v>
      </c>
      <c r="C68" s="67"/>
      <c r="D68" s="93"/>
      <c r="E68" s="87"/>
      <c r="F68" s="9"/>
      <c r="G68" s="9"/>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row>
    <row r="69" spans="1:63" s="2" customFormat="1" ht="30" customHeight="1" thickBot="1" x14ac:dyDescent="0.4">
      <c r="A69" s="31"/>
      <c r="B69" s="88" t="s">
        <v>76</v>
      </c>
      <c r="C69" s="67"/>
      <c r="D69" s="93"/>
      <c r="E69" s="87"/>
      <c r="F69" s="9"/>
      <c r="G69" s="9"/>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row>
    <row r="70" spans="1:63" s="2" customFormat="1" ht="30" customHeight="1" thickBot="1" x14ac:dyDescent="0.4">
      <c r="A70" s="31"/>
      <c r="B70" s="88" t="s">
        <v>77</v>
      </c>
      <c r="C70" s="67"/>
      <c r="D70" s="93"/>
      <c r="E70" s="87"/>
      <c r="F70" s="9"/>
      <c r="G70" s="9"/>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row>
    <row r="71" spans="1:63" s="2" customFormat="1" ht="30" customHeight="1" thickBot="1" x14ac:dyDescent="0.4">
      <c r="A71" s="31"/>
      <c r="B71" s="88" t="s">
        <v>78</v>
      </c>
      <c r="C71" s="67"/>
      <c r="D71" s="93"/>
      <c r="E71" s="87"/>
      <c r="F71" s="9"/>
      <c r="G71" s="9"/>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row>
    <row r="72" spans="1:63" s="2" customFormat="1" ht="30" customHeight="1" thickBot="1" x14ac:dyDescent="0.4">
      <c r="A72" s="31"/>
      <c r="B72" s="83" t="s">
        <v>57</v>
      </c>
      <c r="C72" s="67"/>
      <c r="D72" s="68" t="s">
        <v>25</v>
      </c>
      <c r="E72" s="68" t="s">
        <v>25</v>
      </c>
      <c r="F72" s="9"/>
      <c r="G72" s="9"/>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row>
    <row r="73" spans="1:63" s="2" customFormat="1" ht="30" customHeight="1" thickBot="1" x14ac:dyDescent="0.4">
      <c r="A73" s="31"/>
      <c r="B73" s="83" t="s">
        <v>58</v>
      </c>
      <c r="C73" s="67"/>
      <c r="D73" s="68" t="s">
        <v>25</v>
      </c>
      <c r="E73" s="68" t="s">
        <v>25</v>
      </c>
      <c r="F73" s="9"/>
      <c r="G73" s="9"/>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row>
    <row r="74" spans="1:63" s="2" customFormat="1" ht="30" customHeight="1" thickBot="1" x14ac:dyDescent="0.4">
      <c r="A74" s="31"/>
      <c r="B74" s="83" t="s">
        <v>59</v>
      </c>
      <c r="C74" s="67"/>
      <c r="D74" s="68" t="s">
        <v>25</v>
      </c>
      <c r="E74" s="68" t="s">
        <v>25</v>
      </c>
      <c r="F74" s="65"/>
      <c r="G74" s="65"/>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row>
    <row r="75" spans="1:63" s="2" customFormat="1" ht="30" customHeight="1" thickBot="1" x14ac:dyDescent="0.4">
      <c r="A75" s="31"/>
      <c r="B75" s="83" t="s">
        <v>53</v>
      </c>
      <c r="C75" s="67"/>
      <c r="D75" s="68" t="s">
        <v>25</v>
      </c>
      <c r="E75" s="68" t="s">
        <v>25</v>
      </c>
      <c r="F75" s="65"/>
      <c r="G75" s="65"/>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row>
    <row r="76" spans="1:63" s="2" customFormat="1" ht="30" customHeight="1" thickBot="1" x14ac:dyDescent="0.4">
      <c r="A76" s="31"/>
      <c r="B76" s="83" t="s">
        <v>60</v>
      </c>
      <c r="C76" s="67"/>
      <c r="D76" s="68" t="s">
        <v>25</v>
      </c>
      <c r="E76" s="68" t="s">
        <v>25</v>
      </c>
      <c r="F76" s="65"/>
      <c r="G76" s="65"/>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row>
    <row r="77" spans="1:63" s="2" customFormat="1" ht="30" customHeight="1" thickBot="1" x14ac:dyDescent="0.4">
      <c r="A77" s="31"/>
      <c r="B77" s="105" t="s">
        <v>44</v>
      </c>
      <c r="C77" s="106">
        <v>0.12</v>
      </c>
      <c r="D77" s="107">
        <v>45777</v>
      </c>
      <c r="E77" s="107">
        <v>45839</v>
      </c>
      <c r="F77" s="65"/>
      <c r="G77" s="65"/>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row>
    <row r="78" spans="1:63" s="2" customFormat="1" ht="30" customHeight="1" thickBot="1" x14ac:dyDescent="0.4">
      <c r="A78" s="31"/>
      <c r="B78" s="98" t="s">
        <v>98</v>
      </c>
      <c r="C78" s="99"/>
      <c r="D78" s="100"/>
      <c r="E78" s="100"/>
      <c r="F78" s="65"/>
      <c r="G78" s="65"/>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row>
    <row r="79" spans="1:63" s="2" customFormat="1" ht="30" customHeight="1" thickBot="1" x14ac:dyDescent="0.4">
      <c r="A79" s="31"/>
      <c r="B79" s="103" t="s">
        <v>100</v>
      </c>
      <c r="C79" s="101"/>
      <c r="D79" s="102">
        <v>45839</v>
      </c>
      <c r="E79" s="102" t="s">
        <v>102</v>
      </c>
      <c r="F79" s="65"/>
      <c r="G79" s="65"/>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row>
    <row r="80" spans="1:63" s="2" customFormat="1" ht="30" customHeight="1" thickBot="1" x14ac:dyDescent="0.4">
      <c r="A80" s="31"/>
      <c r="B80" s="103" t="s">
        <v>101</v>
      </c>
      <c r="C80" s="101"/>
      <c r="D80" s="102">
        <v>45839</v>
      </c>
      <c r="E80" s="102" t="s">
        <v>102</v>
      </c>
      <c r="F80" s="65"/>
      <c r="G80" s="65"/>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row>
    <row r="81" spans="1:63" s="2" customFormat="1" ht="30" customHeight="1" thickBot="1" x14ac:dyDescent="0.4">
      <c r="A81" s="31"/>
      <c r="B81" s="103" t="s">
        <v>99</v>
      </c>
      <c r="C81" s="101"/>
      <c r="D81" s="102" t="str">
        <f>E80</f>
        <v>TBC</v>
      </c>
      <c r="E81" s="102">
        <v>45903</v>
      </c>
      <c r="F81" s="65"/>
      <c r="G81" s="65"/>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row>
    <row r="82" spans="1:63" s="2" customFormat="1" ht="30" customHeight="1" thickBot="1" x14ac:dyDescent="0.4">
      <c r="A82" s="31"/>
      <c r="B82" s="104" t="s">
        <v>44</v>
      </c>
      <c r="C82" s="99"/>
      <c r="D82" s="100">
        <v>45839</v>
      </c>
      <c r="E82" s="100">
        <v>45903</v>
      </c>
      <c r="F82" s="65"/>
      <c r="G82" s="65"/>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row>
    <row r="83" spans="1:63" s="2" customFormat="1" ht="30" customHeight="1" thickBot="1" x14ac:dyDescent="0.4">
      <c r="A83" s="31"/>
      <c r="B83" s="84" t="s">
        <v>44</v>
      </c>
      <c r="C83" s="69"/>
      <c r="D83" s="70">
        <v>45763</v>
      </c>
      <c r="E83" s="70">
        <v>45903</v>
      </c>
      <c r="F83" s="65"/>
      <c r="G83" s="65"/>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row>
    <row r="84" spans="1:63" s="64" customFormat="1" ht="30" customHeight="1" x14ac:dyDescent="0.35">
      <c r="A84" s="58" t="s">
        <v>13</v>
      </c>
      <c r="B84" s="86" t="s">
        <v>20</v>
      </c>
      <c r="C84" s="59"/>
      <c r="D84" s="60"/>
      <c r="E84" s="61"/>
      <c r="F84" s="62"/>
      <c r="G84" s="62" t="str">
        <f t="shared" si="6"/>
        <v/>
      </c>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row>
    <row r="85" spans="1:63" ht="30" customHeight="1" x14ac:dyDescent="0.35">
      <c r="F85" s="5"/>
    </row>
    <row r="86" spans="1:63" ht="30" customHeight="1" x14ac:dyDescent="0.35">
      <c r="E86" s="33"/>
    </row>
  </sheetData>
  <mergeCells count="9">
    <mergeCell ref="AJ4:AP4"/>
    <mergeCell ref="AQ4:AW4"/>
    <mergeCell ref="AX4:BD4"/>
    <mergeCell ref="BE4:BK4"/>
    <mergeCell ref="D3:E3"/>
    <mergeCell ref="H4:N4"/>
    <mergeCell ref="O4:U4"/>
    <mergeCell ref="V4:AB4"/>
    <mergeCell ref="AC4:AI4"/>
  </mergeCells>
  <conditionalFormatting sqref="C7:C8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84">
    <cfRule type="expression" dxfId="2" priority="33">
      <formula>AND(TODAY()&gt;=H$5,TODAY()&lt;I$5)</formula>
    </cfRule>
  </conditionalFormatting>
  <conditionalFormatting sqref="H7:BK84">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C7:C84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3" x14ac:dyDescent="0.3"/>
  <cols>
    <col min="1" max="1" width="87.1796875" style="21" customWidth="1"/>
    <col min="2" max="16384" width="9.1796875" style="1"/>
  </cols>
  <sheetData>
    <row r="1" spans="1:2" ht="46.5" customHeight="1" x14ac:dyDescent="0.3"/>
    <row r="2" spans="1:2" s="23" customFormat="1" ht="15.5" x14ac:dyDescent="0.35">
      <c r="A2" s="22" t="s">
        <v>28</v>
      </c>
      <c r="B2" s="22"/>
    </row>
    <row r="3" spans="1:2" s="27" customFormat="1" ht="27" customHeight="1" x14ac:dyDescent="0.35">
      <c r="A3" s="39" t="s">
        <v>29</v>
      </c>
      <c r="B3" s="28"/>
    </row>
    <row r="4" spans="1:2" s="24" customFormat="1" ht="26" x14ac:dyDescent="0.6">
      <c r="A4" s="25" t="s">
        <v>30</v>
      </c>
    </row>
    <row r="5" spans="1:2" ht="74.150000000000006" customHeight="1" x14ac:dyDescent="0.3">
      <c r="A5" s="26" t="s">
        <v>31</v>
      </c>
    </row>
    <row r="6" spans="1:2" ht="26.25" customHeight="1" x14ac:dyDescent="0.3">
      <c r="A6" s="25" t="s">
        <v>32</v>
      </c>
    </row>
    <row r="7" spans="1:2" s="21" customFormat="1" ht="205" customHeight="1" x14ac:dyDescent="0.35">
      <c r="A7" s="30" t="s">
        <v>33</v>
      </c>
    </row>
    <row r="8" spans="1:2" s="24" customFormat="1" ht="26" x14ac:dyDescent="0.6">
      <c r="A8" s="25" t="s">
        <v>34</v>
      </c>
    </row>
    <row r="9" spans="1:2" ht="58" x14ac:dyDescent="0.3">
      <c r="A9" s="26" t="s">
        <v>35</v>
      </c>
    </row>
    <row r="10" spans="1:2" s="21" customFormat="1" ht="28" customHeight="1" x14ac:dyDescent="0.35">
      <c r="A10" s="29" t="s">
        <v>36</v>
      </c>
    </row>
    <row r="11" spans="1:2" s="24" customFormat="1" ht="26" x14ac:dyDescent="0.6">
      <c r="A11" s="25" t="s">
        <v>37</v>
      </c>
    </row>
    <row r="12" spans="1:2" ht="29" x14ac:dyDescent="0.3">
      <c r="A12" s="26" t="s">
        <v>38</v>
      </c>
    </row>
    <row r="13" spans="1:2" s="21" customFormat="1" ht="28" customHeight="1" x14ac:dyDescent="0.35">
      <c r="A13" s="29" t="s">
        <v>39</v>
      </c>
    </row>
    <row r="14" spans="1:2" s="24" customFormat="1" ht="26" x14ac:dyDescent="0.6">
      <c r="A14" s="25" t="s">
        <v>40</v>
      </c>
    </row>
    <row r="15" spans="1:2" ht="75" customHeight="1" x14ac:dyDescent="0.3">
      <c r="A15" s="26" t="s">
        <v>41</v>
      </c>
    </row>
    <row r="16" spans="1:2" ht="72.5" x14ac:dyDescent="0.3">
      <c r="A16" s="26" t="s">
        <v>42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67e242b-bd08-4456-a0b6-5758d9e6cc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F14BB5E7BFDD64BAB3D5FC2B3426B78" ma:contentTypeVersion="6" ma:contentTypeDescription="Create a new document." ma:contentTypeScope="" ma:versionID="b098c7118256ce657678c5873d0548f6">
  <xsd:schema xmlns:xsd="http://www.w3.org/2001/XMLSchema" xmlns:xs="http://www.w3.org/2001/XMLSchema" xmlns:p="http://schemas.microsoft.com/office/2006/metadata/properties" xmlns:ns3="567e242b-bd08-4456-a0b6-5758d9e6cc37" targetNamespace="http://schemas.microsoft.com/office/2006/metadata/properties" ma:root="true" ma:fieldsID="788a4144f4a7840e3f7dac8e7aa0b64b" ns3:_="">
    <xsd:import namespace="567e242b-bd08-4456-a0b6-5758d9e6cc3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e242b-bd08-4456-a0b6-5758d9e6cc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purl.org/dc/dcmitype/"/>
    <ds:schemaRef ds:uri="http://purl.org/dc/terms/"/>
    <ds:schemaRef ds:uri="567e242b-bd08-4456-a0b6-5758d9e6cc37"/>
    <ds:schemaRef ds:uri="http://www.w3.org/XML/1998/namespace"/>
    <ds:schemaRef ds:uri="http://schemas.microsoft.com/office/2006/metadata/properties"/>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85226709-8F55-4F86-92E2-5E634E8C60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e242b-bd08-4456-a0b6-5758d9e6cc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2025-05-19T18:33:48Z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0x0101004F14BB5E7BFDD64BAB3D5FC2B3426B78</vt:lpwstr>
  </property>
</Properties>
</file>